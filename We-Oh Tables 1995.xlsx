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dharmasanam3_gatech_edu/Documents/0 - Research OEF/Particle Modeling/"/>
    </mc:Choice>
  </mc:AlternateContent>
  <xr:revisionPtr revIDLastSave="515" documentId="8_{D1F243AE-EEDB-446F-9C32-BDD84A68E908}" xr6:coauthVersionLast="47" xr6:coauthVersionMax="47" xr10:uidLastSave="{A0CB3DA7-4E07-42C9-B528-46587E9936D5}"/>
  <bookViews>
    <workbookView xWindow="-98" yWindow="-98" windowWidth="23236" windowHeight="13875" xr2:uid="{00000000-000D-0000-FFFF-FFFF00000000}"/>
  </bookViews>
  <sheets>
    <sheet name="We-Oh" sheetId="1" r:id="rId1"/>
    <sheet name="We-Bars" sheetId="2" r:id="rId2"/>
    <sheet name="Tanner Deformation" sheetId="3" r:id="rId3"/>
    <sheet name="O'Rourke Deformation" sheetId="4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E60" i="4"/>
  <c r="E61" i="4"/>
  <c r="E62" i="4"/>
  <c r="E63" i="4"/>
  <c r="E64" i="4"/>
  <c r="E65" i="4"/>
  <c r="E66" i="4"/>
  <c r="E67" i="4"/>
  <c r="E68" i="4"/>
  <c r="E8" i="4"/>
  <c r="E9" i="4"/>
  <c r="E10" i="4"/>
  <c r="E11" i="4"/>
  <c r="E12" i="4"/>
  <c r="E13" i="4"/>
  <c r="E14" i="4"/>
  <c r="E15" i="4"/>
  <c r="E16" i="4"/>
  <c r="E34" i="4"/>
  <c r="E35" i="4"/>
  <c r="E36" i="4"/>
  <c r="E37" i="4"/>
  <c r="E38" i="4"/>
  <c r="E39" i="4"/>
  <c r="E40" i="4"/>
  <c r="E41" i="4"/>
  <c r="E42" i="4"/>
  <c r="E43" i="4"/>
  <c r="E60" i="3"/>
  <c r="E61" i="3"/>
  <c r="E62" i="3"/>
  <c r="E63" i="3"/>
  <c r="E64" i="3"/>
  <c r="E65" i="3"/>
  <c r="E66" i="3"/>
  <c r="E67" i="3"/>
  <c r="E68" i="3"/>
  <c r="E34" i="3"/>
  <c r="E35" i="3"/>
  <c r="E36" i="3"/>
  <c r="E37" i="3"/>
  <c r="E38" i="3"/>
  <c r="E39" i="3"/>
  <c r="E40" i="3"/>
  <c r="E41" i="3"/>
  <c r="E42" i="3"/>
  <c r="E43" i="3"/>
  <c r="E44" i="3"/>
  <c r="E45" i="3"/>
  <c r="E8" i="3"/>
  <c r="E9" i="3"/>
  <c r="E10" i="3"/>
  <c r="E11" i="3"/>
  <c r="E12" i="3"/>
  <c r="E13" i="3"/>
  <c r="E14" i="3"/>
  <c r="E15" i="3"/>
  <c r="E16" i="3"/>
  <c r="Q2" i="1"/>
  <c r="P59" i="1"/>
  <c r="Q59" i="1" s="1"/>
  <c r="P60" i="1"/>
  <c r="Q60" i="1"/>
  <c r="P61" i="1"/>
  <c r="Q61" i="1"/>
  <c r="P62" i="1"/>
  <c r="Q62" i="1"/>
  <c r="P63" i="1"/>
  <c r="Q63" i="1" s="1"/>
  <c r="P64" i="1"/>
  <c r="Q64" i="1"/>
  <c r="P65" i="1"/>
  <c r="Q65" i="1"/>
  <c r="P66" i="1"/>
  <c r="Q66" i="1"/>
  <c r="P67" i="1"/>
  <c r="Q67" i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32" i="1"/>
  <c r="P7" i="1"/>
  <c r="Q7" i="1"/>
  <c r="P8" i="1"/>
  <c r="Q8" i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/>
  <c r="O33" i="1"/>
  <c r="O34" i="1"/>
  <c r="O35" i="1"/>
  <c r="O36" i="1"/>
  <c r="O37" i="1"/>
  <c r="O38" i="1"/>
  <c r="O39" i="1"/>
  <c r="O40" i="1"/>
  <c r="O41" i="1"/>
  <c r="O7" i="1"/>
  <c r="O8" i="1"/>
  <c r="O9" i="1"/>
  <c r="O10" i="1"/>
  <c r="O11" i="1"/>
  <c r="O12" i="1"/>
  <c r="O13" i="1"/>
  <c r="O14" i="1"/>
  <c r="O15" i="1"/>
  <c r="O59" i="1"/>
  <c r="O60" i="1"/>
  <c r="O61" i="1"/>
  <c r="O62" i="1"/>
  <c r="O63" i="1"/>
  <c r="O64" i="1"/>
  <c r="O65" i="1"/>
  <c r="O66" i="1"/>
  <c r="O67" i="1"/>
  <c r="N59" i="1"/>
  <c r="N60" i="1"/>
  <c r="N61" i="1"/>
  <c r="N62" i="1"/>
  <c r="N63" i="1"/>
  <c r="N64" i="1"/>
  <c r="N65" i="1"/>
  <c r="N66" i="1"/>
  <c r="N67" i="1"/>
  <c r="N33" i="1"/>
  <c r="N34" i="1"/>
  <c r="N35" i="1"/>
  <c r="N36" i="1"/>
  <c r="N37" i="1"/>
  <c r="N38" i="1"/>
  <c r="N39" i="1"/>
  <c r="N40" i="1"/>
  <c r="N41" i="1"/>
  <c r="N7" i="1"/>
  <c r="N8" i="1"/>
  <c r="N9" i="1"/>
  <c r="N10" i="1"/>
  <c r="N11" i="1"/>
  <c r="N12" i="1"/>
  <c r="N13" i="1"/>
  <c r="N14" i="1"/>
  <c r="N15" i="1"/>
  <c r="C24" i="2"/>
  <c r="C23" i="2"/>
  <c r="C22" i="2"/>
  <c r="C21" i="2"/>
  <c r="C20" i="2"/>
  <c r="C19" i="2"/>
  <c r="C18" i="2"/>
  <c r="C17" i="2"/>
  <c r="C16" i="2"/>
  <c r="D16" i="2"/>
  <c r="E16" i="2"/>
  <c r="F16" i="2"/>
  <c r="D17" i="2"/>
  <c r="E17" i="2"/>
  <c r="F17" i="2"/>
  <c r="D18" i="2"/>
  <c r="E18" i="2"/>
  <c r="F18" i="2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G17" i="2"/>
  <c r="E80" i="4"/>
  <c r="E79" i="4"/>
  <c r="E78" i="4"/>
  <c r="E77" i="4"/>
  <c r="E76" i="4"/>
  <c r="E75" i="4"/>
  <c r="E74" i="4"/>
  <c r="E73" i="4"/>
  <c r="E72" i="4"/>
  <c r="E71" i="4"/>
  <c r="E70" i="4"/>
  <c r="E69" i="4"/>
  <c r="E59" i="4"/>
  <c r="E58" i="4"/>
  <c r="E57" i="4"/>
  <c r="E56" i="4"/>
  <c r="E54" i="4"/>
  <c r="E53" i="4"/>
  <c r="E52" i="4"/>
  <c r="E51" i="4"/>
  <c r="E50" i="4"/>
  <c r="E49" i="4"/>
  <c r="E48" i="4"/>
  <c r="E47" i="4"/>
  <c r="E46" i="4"/>
  <c r="E45" i="4"/>
  <c r="E4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7" i="4"/>
  <c r="E6" i="4"/>
  <c r="E5" i="4"/>
  <c r="E4" i="4"/>
  <c r="E3" i="4"/>
  <c r="E29" i="3"/>
  <c r="E3" i="3"/>
  <c r="O28" i="1"/>
  <c r="O55" i="1"/>
  <c r="O3" i="1"/>
  <c r="N2" i="1"/>
  <c r="N4" i="1"/>
  <c r="O4" i="1" s="1"/>
  <c r="N5" i="1"/>
  <c r="O5" i="1" s="1"/>
  <c r="N6" i="1"/>
  <c r="O6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9" i="1"/>
  <c r="O29" i="1" s="1"/>
  <c r="N30" i="1"/>
  <c r="O30" i="1" s="1"/>
  <c r="N31" i="1"/>
  <c r="O31" i="1" s="1"/>
  <c r="N32" i="1"/>
  <c r="O32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6" i="1"/>
  <c r="O56" i="1" s="1"/>
  <c r="N57" i="1"/>
  <c r="O57" i="1" s="1"/>
  <c r="N58" i="1"/>
  <c r="O58" i="1" s="1"/>
  <c r="N68" i="1"/>
  <c r="O68" i="1" s="1"/>
  <c r="N69" i="1"/>
  <c r="O69" i="1" s="1"/>
  <c r="N70" i="1"/>
  <c r="N71" i="1"/>
  <c r="N72" i="1"/>
  <c r="N73" i="1"/>
  <c r="O73" i="1" s="1"/>
  <c r="N74" i="1"/>
  <c r="O74" i="1"/>
  <c r="N75" i="1"/>
  <c r="O75" i="1" s="1"/>
  <c r="N76" i="1"/>
  <c r="N77" i="1"/>
  <c r="N78" i="1"/>
  <c r="N79" i="1"/>
  <c r="O79" i="1" s="1"/>
  <c r="G23" i="2"/>
  <c r="H17" i="2"/>
  <c r="I17" i="2"/>
  <c r="J17" i="2"/>
  <c r="G18" i="2"/>
  <c r="H18" i="2"/>
  <c r="I18" i="2"/>
  <c r="J18" i="2"/>
  <c r="G19" i="2"/>
  <c r="H19" i="2"/>
  <c r="I19" i="2"/>
  <c r="J19" i="2"/>
  <c r="G20" i="2"/>
  <c r="H20" i="2"/>
  <c r="I20" i="2"/>
  <c r="J20" i="2"/>
  <c r="G21" i="2"/>
  <c r="H21" i="2"/>
  <c r="I21" i="2"/>
  <c r="J21" i="2"/>
  <c r="G22" i="2"/>
  <c r="H22" i="2"/>
  <c r="I22" i="2"/>
  <c r="J22" i="2"/>
  <c r="H23" i="2"/>
  <c r="I23" i="2"/>
  <c r="J23" i="2"/>
  <c r="G24" i="2"/>
  <c r="H24" i="2"/>
  <c r="I24" i="2"/>
  <c r="J24" i="2"/>
  <c r="G16" i="2"/>
  <c r="J16" i="2"/>
  <c r="H16" i="2"/>
  <c r="I16" i="2"/>
  <c r="E80" i="3"/>
  <c r="E79" i="3"/>
  <c r="E78" i="3"/>
  <c r="E77" i="3"/>
  <c r="E76" i="3"/>
  <c r="E75" i="3"/>
  <c r="E74" i="3"/>
  <c r="E73" i="3"/>
  <c r="E72" i="3"/>
  <c r="E71" i="3"/>
  <c r="E70" i="3"/>
  <c r="E69" i="3"/>
  <c r="E59" i="3"/>
  <c r="E58" i="3"/>
  <c r="E57" i="3"/>
  <c r="E56" i="3"/>
  <c r="E54" i="3"/>
  <c r="E53" i="3"/>
  <c r="E52" i="3"/>
  <c r="E51" i="3"/>
  <c r="E50" i="3"/>
  <c r="E49" i="3"/>
  <c r="E48" i="3"/>
  <c r="E47" i="3"/>
  <c r="E46" i="3"/>
  <c r="E33" i="3"/>
  <c r="E32" i="3"/>
  <c r="E31" i="3"/>
  <c r="E30" i="3"/>
  <c r="E28" i="3"/>
  <c r="E27" i="3"/>
  <c r="E26" i="3"/>
  <c r="E25" i="3"/>
  <c r="E24" i="3"/>
  <c r="E23" i="3"/>
  <c r="E22" i="3"/>
  <c r="E21" i="3"/>
  <c r="E20" i="3"/>
  <c r="E19" i="3"/>
  <c r="E18" i="3"/>
  <c r="E17" i="3"/>
  <c r="E7" i="3"/>
  <c r="E6" i="3"/>
  <c r="E5" i="3"/>
  <c r="E4" i="3"/>
  <c r="O70" i="1" l="1"/>
  <c r="O71" i="1"/>
  <c r="O72" i="1"/>
  <c r="O76" i="1"/>
  <c r="O77" i="1"/>
  <c r="O78" i="1"/>
  <c r="C10" i="1"/>
  <c r="C9" i="1"/>
  <c r="P77" i="1" l="1"/>
  <c r="P78" i="1"/>
  <c r="P4" i="1"/>
  <c r="P5" i="1"/>
  <c r="P6" i="1"/>
  <c r="P16" i="1"/>
  <c r="P17" i="1"/>
  <c r="P18" i="1"/>
  <c r="P19" i="1"/>
  <c r="P20" i="1"/>
  <c r="P21" i="1"/>
  <c r="P22" i="1"/>
  <c r="P23" i="1"/>
  <c r="P25" i="1"/>
  <c r="P31" i="1"/>
  <c r="P43" i="1"/>
  <c r="P46" i="1"/>
  <c r="P55" i="1"/>
  <c r="P56" i="1"/>
  <c r="P57" i="1"/>
  <c r="P58" i="1"/>
  <c r="P68" i="1"/>
  <c r="P69" i="1"/>
  <c r="P24" i="1"/>
  <c r="P26" i="1"/>
  <c r="P27" i="1"/>
  <c r="P28" i="1"/>
  <c r="P29" i="1"/>
  <c r="P30" i="1"/>
  <c r="P44" i="1"/>
  <c r="P45" i="1"/>
  <c r="P47" i="1"/>
  <c r="P48" i="1"/>
  <c r="P49" i="1"/>
  <c r="P50" i="1"/>
  <c r="P51" i="1"/>
  <c r="P52" i="1"/>
  <c r="P53" i="1"/>
  <c r="P54" i="1"/>
  <c r="P3" i="1"/>
  <c r="P70" i="1"/>
  <c r="P71" i="1"/>
  <c r="P72" i="1"/>
  <c r="P76" i="1"/>
  <c r="P75" i="1"/>
  <c r="P73" i="1"/>
  <c r="P74" i="1"/>
  <c r="P79" i="1"/>
  <c r="Q71" i="1" l="1"/>
  <c r="S71" i="1" s="1"/>
  <c r="T71" i="1"/>
  <c r="Q72" i="1"/>
  <c r="S72" i="1" s="1"/>
  <c r="T72" i="1"/>
  <c r="Q76" i="1"/>
  <c r="S76" i="1" s="1"/>
  <c r="T76" i="1"/>
  <c r="S42" i="1"/>
  <c r="T42" i="1"/>
  <c r="Q20" i="1"/>
  <c r="S20" i="1" s="1"/>
  <c r="T20" i="1"/>
  <c r="Q25" i="1"/>
  <c r="S25" i="1" s="1"/>
  <c r="T25" i="1"/>
  <c r="Q5" i="1"/>
  <c r="S5" i="1" s="1"/>
  <c r="T5" i="1"/>
  <c r="Q48" i="1"/>
  <c r="S48" i="1" s="1"/>
  <c r="T48" i="1"/>
  <c r="Q51" i="1"/>
  <c r="S51" i="1" s="1"/>
  <c r="T51" i="1"/>
  <c r="Q4" i="1"/>
  <c r="S4" i="1" s="1"/>
  <c r="T4" i="1"/>
  <c r="Q21" i="1"/>
  <c r="S21" i="1" s="1"/>
  <c r="T21" i="1"/>
  <c r="Q31" i="1"/>
  <c r="S31" i="1" s="1"/>
  <c r="T31" i="1"/>
  <c r="Q29" i="1"/>
  <c r="S29" i="1" s="1"/>
  <c r="T29" i="1"/>
  <c r="Q6" i="1"/>
  <c r="S6" i="1" s="1"/>
  <c r="T6" i="1"/>
  <c r="Q19" i="1"/>
  <c r="S19" i="1" s="1"/>
  <c r="T19" i="1"/>
  <c r="Q43" i="1"/>
  <c r="S43" i="1" s="1"/>
  <c r="T43" i="1"/>
  <c r="Q46" i="1"/>
  <c r="S46" i="1" s="1"/>
  <c r="T46" i="1"/>
  <c r="Q57" i="1"/>
  <c r="S57" i="1" s="1"/>
  <c r="T57" i="1"/>
  <c r="Q27" i="1"/>
  <c r="S27" i="1" s="1"/>
  <c r="T27" i="1"/>
  <c r="Q32" i="1"/>
  <c r="S32" i="1" s="1"/>
  <c r="T32" i="1"/>
  <c r="Q49" i="1"/>
  <c r="S49" i="1" s="1"/>
  <c r="T49" i="1"/>
  <c r="Q18" i="1"/>
  <c r="S18" i="1" s="1"/>
  <c r="T18" i="1"/>
  <c r="Q23" i="1"/>
  <c r="S23" i="1" s="1"/>
  <c r="T23" i="1"/>
  <c r="Q56" i="1"/>
  <c r="S56" i="1" s="1"/>
  <c r="T56" i="1"/>
  <c r="Q58" i="1"/>
  <c r="S58" i="1" s="1"/>
  <c r="T58" i="1"/>
  <c r="Q68" i="1"/>
  <c r="S68" i="1" s="1"/>
  <c r="T68" i="1"/>
  <c r="Q69" i="1"/>
  <c r="S69" i="1" s="1"/>
  <c r="T69" i="1"/>
  <c r="Q28" i="1"/>
  <c r="S28" i="1" s="1"/>
  <c r="T28" i="1"/>
  <c r="Q30" i="1"/>
  <c r="S30" i="1" s="1"/>
  <c r="T30" i="1"/>
  <c r="Q50" i="1"/>
  <c r="S50" i="1" s="1"/>
  <c r="T50" i="1"/>
  <c r="Q52" i="1"/>
  <c r="S52" i="1" s="1"/>
  <c r="T52" i="1"/>
  <c r="Q53" i="1"/>
  <c r="S53" i="1" s="1"/>
  <c r="T53" i="1"/>
  <c r="Q54" i="1"/>
  <c r="S54" i="1" s="1"/>
  <c r="T54" i="1"/>
  <c r="T70" i="1"/>
  <c r="Q70" i="1"/>
  <c r="S70" i="1" s="1"/>
  <c r="Q16" i="1"/>
  <c r="S16" i="1" s="1"/>
  <c r="T16" i="1"/>
  <c r="Q22" i="1"/>
  <c r="S22" i="1" s="1"/>
  <c r="T22" i="1"/>
  <c r="Q55" i="1"/>
  <c r="S55" i="1" s="1"/>
  <c r="T55" i="1"/>
  <c r="Q47" i="1"/>
  <c r="S47" i="1" s="1"/>
  <c r="T47" i="1"/>
  <c r="T77" i="1"/>
  <c r="Q77" i="1"/>
  <c r="S77" i="1" s="1"/>
  <c r="T78" i="1"/>
  <c r="Q78" i="1"/>
  <c r="S78" i="1" s="1"/>
  <c r="Q17" i="1"/>
  <c r="S17" i="1" s="1"/>
  <c r="T17" i="1"/>
  <c r="Q24" i="1"/>
  <c r="S24" i="1" s="1"/>
  <c r="T24" i="1"/>
  <c r="Q26" i="1"/>
  <c r="S26" i="1" s="1"/>
  <c r="T26" i="1"/>
  <c r="Q44" i="1"/>
  <c r="S44" i="1" s="1"/>
  <c r="T44" i="1"/>
  <c r="Q45" i="1"/>
  <c r="S45" i="1" s="1"/>
  <c r="T45" i="1"/>
  <c r="Q3" i="1"/>
  <c r="S3" i="1" s="1"/>
  <c r="T3" i="1"/>
  <c r="T79" i="1"/>
  <c r="Q79" i="1"/>
  <c r="S79" i="1" s="1"/>
  <c r="S2" i="1"/>
  <c r="T2" i="1"/>
  <c r="Q75" i="1"/>
  <c r="S75" i="1" s="1"/>
  <c r="T75" i="1"/>
  <c r="Q73" i="1"/>
  <c r="S73" i="1" s="1"/>
  <c r="T73" i="1"/>
  <c r="Q74" i="1"/>
  <c r="S74" i="1" s="1"/>
  <c r="T74" i="1"/>
</calcChain>
</file>

<file path=xl/sharedStrings.xml><?xml version="1.0" encoding="utf-8"?>
<sst xmlns="http://schemas.openxmlformats.org/spreadsheetml/2006/main" count="254" uniqueCount="78">
  <si>
    <t>Constants</t>
  </si>
  <si>
    <t>We</t>
  </si>
  <si>
    <t>Oh</t>
  </si>
  <si>
    <t>Re</t>
  </si>
  <si>
    <t>Target Radius</t>
  </si>
  <si>
    <t>Target Vel</t>
  </si>
  <si>
    <t>We Ck</t>
  </si>
  <si>
    <t>Oh Ck</t>
  </si>
  <si>
    <t>O'Rourke</t>
  </si>
  <si>
    <t xml:space="preserve">Tanner </t>
  </si>
  <si>
    <t>Constant Name</t>
  </si>
  <si>
    <t>Var in Code</t>
  </si>
  <si>
    <t>Value</t>
  </si>
  <si>
    <t>Units</t>
  </si>
  <si>
    <t>Notes</t>
  </si>
  <si>
    <t>gas density</t>
  </si>
  <si>
    <t>rho_g</t>
  </si>
  <si>
    <t>kg/m^3</t>
  </si>
  <si>
    <t>air</t>
  </si>
  <si>
    <t>liquid density</t>
  </si>
  <si>
    <t>rho_l</t>
  </si>
  <si>
    <t>water</t>
  </si>
  <si>
    <t>parent radius</t>
  </si>
  <si>
    <t>parent_r</t>
  </si>
  <si>
    <t>m</t>
  </si>
  <si>
    <t>will change</t>
  </si>
  <si>
    <t>surface tension</t>
  </si>
  <si>
    <t>sigma</t>
  </si>
  <si>
    <t>kg/s^2 (N/m)</t>
  </si>
  <si>
    <t>drop velocity</t>
  </si>
  <si>
    <t>u</t>
  </si>
  <si>
    <t>m/s</t>
  </si>
  <si>
    <t>liquid dynamic viscocity</t>
  </si>
  <si>
    <t>mu_l</t>
  </si>
  <si>
    <t>Pa*s</t>
  </si>
  <si>
    <t>gas dynamic viscocity</t>
  </si>
  <si>
    <t>mu_g</t>
  </si>
  <si>
    <t>Oh = mu_l / ((rho_l*parent_r*sigma)^(1/2)) = sqrt(We)/Re</t>
  </si>
  <si>
    <t>We = rho_g*(u^2)*parent_r/sigma</t>
  </si>
  <si>
    <t>Re = 2*rho_g*parent_r*u/mu_g</t>
  </si>
  <si>
    <t>Transposed Matrix, numer = upper bound on regime</t>
  </si>
  <si>
    <t>Model</t>
  </si>
  <si>
    <t>Osc. Def.</t>
  </si>
  <si>
    <t>Bag Breakup</t>
  </si>
  <si>
    <t>Multimode/Stripping</t>
  </si>
  <si>
    <t>Shear/Catastrophic</t>
  </si>
  <si>
    <t>Differences for Bar Chart</t>
  </si>
  <si>
    <t>Label</t>
  </si>
  <si>
    <t>Behaviour</t>
  </si>
  <si>
    <t>Tanner, 2003</t>
  </si>
  <si>
    <t>Stripping Breakup</t>
  </si>
  <si>
    <t>Catastrophic Breakup</t>
  </si>
  <si>
    <t>10 (1)</t>
  </si>
  <si>
    <t>20 (2)</t>
  </si>
  <si>
    <t>&gt;20 (&gt;)</t>
  </si>
  <si>
    <t>osc</t>
  </si>
  <si>
    <t>bag</t>
  </si>
  <si>
    <t>str</t>
  </si>
  <si>
    <t>cat</t>
  </si>
  <si>
    <t>Oscillatory deformation</t>
  </si>
  <si>
    <t>&gt;20% Deformation</t>
  </si>
  <si>
    <t>10%&gt; Deformation &gt;20%</t>
  </si>
  <si>
    <t>5% &gt; Deformation &gt;20%</t>
  </si>
  <si>
    <t>&lt;5% Deformation</t>
  </si>
  <si>
    <t>5 (5)</t>
  </si>
  <si>
    <t>o</t>
  </si>
  <si>
    <t>b</t>
  </si>
  <si>
    <t>s</t>
  </si>
  <si>
    <t>c</t>
  </si>
  <si>
    <t>&gt;</t>
  </si>
  <si>
    <t>All Breakup</t>
  </si>
  <si>
    <t>TAB</t>
  </si>
  <si>
    <t>ETAB</t>
  </si>
  <si>
    <t>Hsiang &amp; Faeth (1995)</t>
  </si>
  <si>
    <t>Deformation &lt;5%</t>
  </si>
  <si>
    <t>5%&lt; Deformation &lt;10%</t>
  </si>
  <si>
    <t>10%&lt; Deformation &lt;20%</t>
  </si>
  <si>
    <t>Deformation &gt;20%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</si>
</sst>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65" fontId="0" fillId="2" borderId="0" xfId="0" applyNumberForma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/>
    <xf numFmtId="164" fontId="0" fillId="0" borderId="0" xfId="0" applyNumberFormat="1" applyAlignment="1">
      <alignment horizontal="right"/>
    </xf>
    <xf numFmtId="166" fontId="0" fillId="3" borderId="0" xfId="0" applyNumberFormat="1" applyFill="1"/>
    <xf numFmtId="0" fontId="0" fillId="3" borderId="0" xfId="0" applyFill="1"/>
    <xf numFmtId="166" fontId="0" fillId="4" borderId="0" xfId="0" applyNumberFormat="1" applyFill="1"/>
    <xf numFmtId="0" fontId="0" fillId="4" borderId="0" xfId="0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4" fontId="0" fillId="0" borderId="1" xfId="0" applyNumberFormat="1" applyBorder="1"/>
    <xf numFmtId="0" fontId="0" fillId="0" borderId="1" xfId="0" applyBorder="1"/>
    <xf numFmtId="165" fontId="0" fillId="2" borderId="1" xfId="0" applyNumberFormat="1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0.001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'We-Bars'!$C$15</c:f>
              <c:strCache>
                <c:ptCount val="1"/>
                <c:pt idx="0">
                  <c:v>Deformation &lt;5%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'We-Bars'!$C$16:$C$24</c15:sqref>
                  </c15:fullRef>
                </c:ext>
              </c:extLst>
              <c:f>'We-Bars'!$C$16:$C$18</c:f>
              <c:numCache>
                <c:formatCode>General</c:formatCode>
                <c:ptCount val="3"/>
                <c:pt idx="0">
                  <c:v>0.38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D-431A-B73F-1235DB25A930}"/>
            </c:ext>
          </c:extLst>
        </c:ser>
        <c:ser>
          <c:idx val="1"/>
          <c:order val="1"/>
          <c:tx>
            <c:strRef>
              <c:f>'We-Bars'!$D$15</c:f>
              <c:strCache>
                <c:ptCount val="1"/>
                <c:pt idx="0">
                  <c:v>5%&lt; Deformation &lt;10%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'We-Bars'!$D$16:$D$24</c15:sqref>
                  </c15:fullRef>
                </c:ext>
              </c:extLst>
              <c:f>'We-Bars'!$D$16:$D$18</c:f>
              <c:numCache>
                <c:formatCode>General</c:formatCode>
                <c:ptCount val="3"/>
                <c:pt idx="0">
                  <c:v>0.62</c:v>
                </c:pt>
                <c:pt idx="1">
                  <c:v>0.39999999999999997</c:v>
                </c:pt>
                <c:pt idx="2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D-431A-B73F-1235DB25A930}"/>
            </c:ext>
          </c:extLst>
        </c:ser>
        <c:ser>
          <c:idx val="2"/>
          <c:order val="2"/>
          <c:tx>
            <c:strRef>
              <c:f>'We-Bars'!$E$15</c:f>
              <c:strCache>
                <c:ptCount val="1"/>
                <c:pt idx="0">
                  <c:v>10%&lt; Deformation &lt;20%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'We-Bars'!$E$16:$E$24</c15:sqref>
                  </c15:fullRef>
                </c:ext>
              </c:extLst>
              <c:f>'We-Bars'!$E$16:$E$18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0.55000000000000004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D-431A-B73F-1235DB25A930}"/>
            </c:ext>
          </c:extLst>
        </c:ser>
        <c:ser>
          <c:idx val="3"/>
          <c:order val="3"/>
          <c:tx>
            <c:strRef>
              <c:f>'We-Bars'!$F$15</c:f>
              <c:strCache>
                <c:ptCount val="1"/>
                <c:pt idx="0">
                  <c:v>Deformation &gt;20%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'We-Bars'!$F$16:$F$24</c15:sqref>
                  </c15:fullRef>
                </c:ext>
              </c:extLst>
              <c:f>'We-Bars'!$F$16:$F$18</c:f>
              <c:numCache>
                <c:formatCode>General</c:formatCode>
                <c:ptCount val="3"/>
                <c:pt idx="0">
                  <c:v>0.89999999999999991</c:v>
                </c:pt>
                <c:pt idx="1">
                  <c:v>0.30000000000000004</c:v>
                </c:pt>
                <c:pt idx="2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D-431A-B73F-1235DB25A930}"/>
            </c:ext>
          </c:extLst>
        </c:ser>
        <c:ser>
          <c:idx val="4"/>
          <c:order val="4"/>
          <c:tx>
            <c:strRef>
              <c:f>'We-Bars'!$G$15</c:f>
              <c:strCache>
                <c:ptCount val="1"/>
                <c:pt idx="0">
                  <c:v>Osc. Def.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'We-Bars'!$G$16:$G$24</c15:sqref>
                  </c15:fullRef>
                </c:ext>
              </c:extLst>
              <c:f>'We-Bars'!$G$16:$G$18</c:f>
              <c:numCache>
                <c:formatCode>General</c:formatCode>
                <c:ptCount val="3"/>
                <c:pt idx="0">
                  <c:v>8</c:v>
                </c:pt>
                <c:pt idx="1">
                  <c:v>5.45</c:v>
                </c:pt>
                <c:pt idx="2">
                  <c:v>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0D-431A-B73F-1235DB25A930}"/>
            </c:ext>
          </c:extLst>
        </c:ser>
        <c:ser>
          <c:idx val="5"/>
          <c:order val="5"/>
          <c:tx>
            <c:strRef>
              <c:f>'We-Bars'!$H$15</c:f>
              <c:strCache>
                <c:ptCount val="1"/>
                <c:pt idx="0">
                  <c:v>Bag Breakup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'We-Bars'!$H$16:$H$24</c15:sqref>
                  </c15:fullRef>
                </c:ext>
              </c:extLst>
              <c:f>'We-Bars'!$H$16:$H$18</c:f>
              <c:numCache>
                <c:formatCode>General</c:formatCode>
                <c:ptCount val="3"/>
                <c:pt idx="0">
                  <c:v>24</c:v>
                </c:pt>
                <c:pt idx="1">
                  <c:v>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0D-431A-B73F-1235DB25A930}"/>
            </c:ext>
          </c:extLst>
        </c:ser>
        <c:ser>
          <c:idx val="6"/>
          <c:order val="6"/>
          <c:tx>
            <c:strRef>
              <c:f>'We-Bars'!$I$15</c:f>
              <c:strCache>
                <c:ptCount val="1"/>
                <c:pt idx="0">
                  <c:v>Multimode/Stripping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'We-Bars'!$I$16:$I$24</c15:sqref>
                  </c15:fullRef>
                </c:ext>
              </c:extLst>
              <c:f>'We-Bars'!$I$16:$I$18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5-437A-9849-466A0C65CC0B}"/>
            </c:ext>
          </c:extLst>
        </c:ser>
        <c:ser>
          <c:idx val="7"/>
          <c:order val="7"/>
          <c:tx>
            <c:strRef>
              <c:f>'We-Bars'!$J$15</c:f>
              <c:strCache>
                <c:ptCount val="1"/>
                <c:pt idx="0">
                  <c:v>Shear/Catastrophic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'We-Bars'!$J$16:$J$24</c15:sqref>
                  </c15:fullRef>
                </c:ext>
              </c:extLst>
              <c:f>'We-Bars'!$J$16:$J$18</c:f>
              <c:numCache>
                <c:formatCode>General</c:formatCode>
                <c:ptCount val="3"/>
                <c:pt idx="0">
                  <c:v>920</c:v>
                </c:pt>
                <c:pt idx="1">
                  <c:v>993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5-437A-9849-466A0C65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Weber Numver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0.001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'We-Bars'!$C$15</c:f>
              <c:strCache>
                <c:ptCount val="1"/>
                <c:pt idx="0">
                  <c:v>Deformation &lt;5%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'We-Bars'!$A$16:$B$21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'We-Bars'!$C$16:$C$21</c15:sqref>
                  </c15:fullRef>
                </c:ext>
              </c:extLst>
              <c:f>'We-Bars'!$C$16:$C$18</c:f>
              <c:numCache>
                <c:formatCode>General</c:formatCode>
                <c:ptCount val="3"/>
                <c:pt idx="0">
                  <c:v>0.38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C-4C74-A223-F9E503439A0E}"/>
            </c:ext>
          </c:extLst>
        </c:ser>
        <c:ser>
          <c:idx val="1"/>
          <c:order val="1"/>
          <c:tx>
            <c:strRef>
              <c:f>'We-Bars'!$F$15</c:f>
              <c:strCache>
                <c:ptCount val="1"/>
                <c:pt idx="0">
                  <c:v>Deformation &gt;20%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'We-Bars'!$A$16:$B$21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'We-Bars'!$F$16:$F$21</c15:sqref>
                  </c15:fullRef>
                </c:ext>
              </c:extLst>
              <c:f>'We-Bars'!$F$16:$F$18</c:f>
              <c:numCache>
                <c:formatCode>General</c:formatCode>
                <c:ptCount val="3"/>
                <c:pt idx="0">
                  <c:v>0.89999999999999991</c:v>
                </c:pt>
                <c:pt idx="1">
                  <c:v>0.30000000000000004</c:v>
                </c:pt>
                <c:pt idx="2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C-4C74-A223-F9E503439A0E}"/>
            </c:ext>
          </c:extLst>
        </c:ser>
        <c:ser>
          <c:idx val="2"/>
          <c:order val="2"/>
          <c:tx>
            <c:strRef>
              <c:f>'We-Bars'!$G$15</c:f>
              <c:strCache>
                <c:ptCount val="1"/>
                <c:pt idx="0">
                  <c:v>Osc. Def.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'We-Bars'!$A$16:$B$21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'We-Bars'!$G$16:$G$21</c15:sqref>
                  </c15:fullRef>
                </c:ext>
              </c:extLst>
              <c:f>'We-Bars'!$G$16:$G$18</c:f>
              <c:numCache>
                <c:formatCode>General</c:formatCode>
                <c:ptCount val="3"/>
                <c:pt idx="0">
                  <c:v>8</c:v>
                </c:pt>
                <c:pt idx="1">
                  <c:v>5.45</c:v>
                </c:pt>
                <c:pt idx="2">
                  <c:v>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DC-4C74-A223-F9E503439A0E}"/>
            </c:ext>
          </c:extLst>
        </c:ser>
        <c:ser>
          <c:idx val="3"/>
          <c:order val="3"/>
          <c:tx>
            <c:strRef>
              <c:f>'We-Bars'!$H$15</c:f>
              <c:strCache>
                <c:ptCount val="1"/>
                <c:pt idx="0">
                  <c:v>Bag Breakup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'We-Bars'!$A$16:$B$21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'We-Bars'!$H$16:$H$21</c15:sqref>
                  </c15:fullRef>
                </c:ext>
              </c:extLst>
              <c:f>'We-Bars'!$H$16:$H$18</c:f>
              <c:numCache>
                <c:formatCode>General</c:formatCode>
                <c:ptCount val="3"/>
                <c:pt idx="0">
                  <c:v>24</c:v>
                </c:pt>
                <c:pt idx="1">
                  <c:v>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DC-4C74-A223-F9E503439A0E}"/>
            </c:ext>
          </c:extLst>
        </c:ser>
        <c:ser>
          <c:idx val="4"/>
          <c:order val="4"/>
          <c:tx>
            <c:strRef>
              <c:f>'We-Bars'!$I$15</c:f>
              <c:strCache>
                <c:ptCount val="1"/>
                <c:pt idx="0">
                  <c:v>Multimode/Stripping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'We-Bars'!$A$16:$B$21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'We-Bars'!$I$16:$I$21</c15:sqref>
                  </c15:fullRef>
                </c:ext>
              </c:extLst>
              <c:f>'We-Bars'!$I$16:$I$18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DC-4C74-A223-F9E503439A0E}"/>
            </c:ext>
          </c:extLst>
        </c:ser>
        <c:ser>
          <c:idx val="5"/>
          <c:order val="5"/>
          <c:tx>
            <c:strRef>
              <c:f>'We-Bars'!$J$15</c:f>
              <c:strCache>
                <c:ptCount val="1"/>
                <c:pt idx="0">
                  <c:v>Shear/Catastrophic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'We-Bars'!$A$16:$B$21</c15:sqref>
                  </c15:fullRef>
                </c:ext>
              </c:extLst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'We-Bars'!$J$16:$J$21</c15:sqref>
                  </c15:fullRef>
                </c:ext>
              </c:extLst>
              <c:f>'We-Bars'!$J$16:$J$18</c:f>
              <c:numCache>
                <c:formatCode>General</c:formatCode>
                <c:ptCount val="3"/>
                <c:pt idx="0">
                  <c:v>920</c:v>
                </c:pt>
                <c:pt idx="1">
                  <c:v>993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DC-4C74-A223-F9E503439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0.01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'We-Bars'!$C$15</c:f>
              <c:strCache>
                <c:ptCount val="1"/>
                <c:pt idx="0">
                  <c:v>Deformation &lt;5%</c:v>
                </c:pt>
              </c:strCache>
            </c:strRef>
          </c:tx>
          <c:invertIfNegative val="0"/>
          <c:cat>
            <c:multiLvlStrRef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f>'We-Bars'!$C$16:$C$18</c:f>
              <c:numCache>
                <c:formatCode>General</c:formatCode>
                <c:ptCount val="3"/>
                <c:pt idx="0">
                  <c:v>0.38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B-4EDF-9DA7-B7EDF96086A8}"/>
            </c:ext>
          </c:extLst>
        </c:ser>
        <c:ser>
          <c:idx val="1"/>
          <c:order val="1"/>
          <c:tx>
            <c:strRef>
              <c:f>'We-Bars'!$F$15</c:f>
              <c:strCache>
                <c:ptCount val="1"/>
                <c:pt idx="0">
                  <c:v>Deformation &gt;20%</c:v>
                </c:pt>
              </c:strCache>
            </c:strRef>
          </c:tx>
          <c:invertIfNegative val="0"/>
          <c:cat>
            <c:multiLvlStrRef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f>'We-Bars'!$F$16:$F$18</c:f>
              <c:numCache>
                <c:formatCode>General</c:formatCode>
                <c:ptCount val="3"/>
                <c:pt idx="0">
                  <c:v>0.89999999999999991</c:v>
                </c:pt>
                <c:pt idx="1">
                  <c:v>0.30000000000000004</c:v>
                </c:pt>
                <c:pt idx="2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B-4EDF-9DA7-B7EDF96086A8}"/>
            </c:ext>
          </c:extLst>
        </c:ser>
        <c:ser>
          <c:idx val="2"/>
          <c:order val="2"/>
          <c:tx>
            <c:strRef>
              <c:f>'We-Bars'!$G$15</c:f>
              <c:strCache>
                <c:ptCount val="1"/>
                <c:pt idx="0">
                  <c:v>Osc. Def.</c:v>
                </c:pt>
              </c:strCache>
            </c:strRef>
          </c:tx>
          <c:invertIfNegative val="0"/>
          <c:cat>
            <c:multiLvlStrRef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f>'We-Bars'!$G$16:$G$18</c:f>
              <c:numCache>
                <c:formatCode>General</c:formatCode>
                <c:ptCount val="3"/>
                <c:pt idx="0">
                  <c:v>8</c:v>
                </c:pt>
                <c:pt idx="1">
                  <c:v>5.45</c:v>
                </c:pt>
                <c:pt idx="2">
                  <c:v>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B-4EDF-9DA7-B7EDF96086A8}"/>
            </c:ext>
          </c:extLst>
        </c:ser>
        <c:ser>
          <c:idx val="3"/>
          <c:order val="3"/>
          <c:tx>
            <c:strRef>
              <c:f>'We-Bars'!$H$15</c:f>
              <c:strCache>
                <c:ptCount val="1"/>
                <c:pt idx="0">
                  <c:v>Bag Breakup</c:v>
                </c:pt>
              </c:strCache>
            </c:strRef>
          </c:tx>
          <c:invertIfNegative val="0"/>
          <c:cat>
            <c:multiLvlStrRef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f>'We-Bars'!$H$16:$H$18</c:f>
              <c:numCache>
                <c:formatCode>General</c:formatCode>
                <c:ptCount val="3"/>
                <c:pt idx="0">
                  <c:v>24</c:v>
                </c:pt>
                <c:pt idx="1">
                  <c:v>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9B-4EDF-9DA7-B7EDF96086A8}"/>
            </c:ext>
          </c:extLst>
        </c:ser>
        <c:ser>
          <c:idx val="4"/>
          <c:order val="4"/>
          <c:tx>
            <c:strRef>
              <c:f>'We-Bars'!$I$15</c:f>
              <c:strCache>
                <c:ptCount val="1"/>
                <c:pt idx="0">
                  <c:v>Multimode/Stripping</c:v>
                </c:pt>
              </c:strCache>
            </c:strRef>
          </c:tx>
          <c:invertIfNegative val="0"/>
          <c:cat>
            <c:multiLvlStrRef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f>'We-Bars'!$I$16:$I$18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9B-4EDF-9DA7-B7EDF96086A8}"/>
            </c:ext>
          </c:extLst>
        </c:ser>
        <c:ser>
          <c:idx val="5"/>
          <c:order val="5"/>
          <c:tx>
            <c:strRef>
              <c:f>'We-Bars'!$J$15</c:f>
              <c:strCache>
                <c:ptCount val="1"/>
                <c:pt idx="0">
                  <c:v>Shear/Catastrophic</c:v>
                </c:pt>
              </c:strCache>
            </c:strRef>
          </c:tx>
          <c:invertIfNegative val="0"/>
          <c:cat>
            <c:multiLvlStrRef>
              <c:f>'We-Bars'!$A$16:$B$18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f>'We-Bars'!$J$16:$J$18</c:f>
              <c:numCache>
                <c:formatCode>General</c:formatCode>
                <c:ptCount val="3"/>
                <c:pt idx="0">
                  <c:v>920</c:v>
                </c:pt>
                <c:pt idx="1">
                  <c:v>993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9B-4EDF-9DA7-B7EDF9608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  <c:extLst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'We-Bars'!$C$15</c:f>
              <c:strCache>
                <c:ptCount val="1"/>
                <c:pt idx="0">
                  <c:v>Deformation &lt;5%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'We-Bars'!$C$16:$C$24</c15:sqref>
                  </c15:fullRef>
                </c:ext>
              </c:extLst>
              <c:f>'We-Bars'!$C$22:$C$24</c:f>
              <c:numCache>
                <c:formatCode>General</c:formatCode>
                <c:ptCount val="3"/>
                <c:pt idx="0">
                  <c:v>0.38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6-4B5E-BBB0-A397C677FA7D}"/>
            </c:ext>
          </c:extLst>
        </c:ser>
        <c:ser>
          <c:idx val="1"/>
          <c:order val="1"/>
          <c:tx>
            <c:strRef>
              <c:f>'We-Bars'!$F$15</c:f>
              <c:strCache>
                <c:ptCount val="1"/>
                <c:pt idx="0">
                  <c:v>Deformation &gt;20%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'We-Bars'!$F$16:$F$24</c15:sqref>
                  </c15:fullRef>
                </c:ext>
              </c:extLst>
              <c:f>'We-Bars'!$F$22:$F$24</c:f>
              <c:numCache>
                <c:formatCode>General</c:formatCode>
                <c:ptCount val="3"/>
                <c:pt idx="0">
                  <c:v>2.9</c:v>
                </c:pt>
                <c:pt idx="1">
                  <c:v>1.65</c:v>
                </c:pt>
                <c:pt idx="2">
                  <c:v>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6-4B5E-BBB0-A397C677FA7D}"/>
            </c:ext>
          </c:extLst>
        </c:ser>
        <c:ser>
          <c:idx val="2"/>
          <c:order val="2"/>
          <c:tx>
            <c:strRef>
              <c:f>'We-Bars'!$G$15</c:f>
              <c:strCache>
                <c:ptCount val="1"/>
                <c:pt idx="0">
                  <c:v>Osc. Def.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'We-Bars'!$G$16:$G$24</c15:sqref>
                  </c15:fullRef>
                </c:ext>
              </c:extLst>
              <c:f>'We-Bars'!$G$22:$G$24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6-4B5E-BBB0-A397C677FA7D}"/>
            </c:ext>
          </c:extLst>
        </c:ser>
        <c:ser>
          <c:idx val="3"/>
          <c:order val="3"/>
          <c:tx>
            <c:strRef>
              <c:f>'We-Bars'!$H$15</c:f>
              <c:strCache>
                <c:ptCount val="1"/>
                <c:pt idx="0">
                  <c:v>Bag Breakup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'We-Bars'!$H$16:$H$24</c15:sqref>
                  </c15:fullRef>
                </c:ext>
              </c:extLst>
              <c:f>'We-Bars'!$H$22:$H$24</c:f>
              <c:numCache>
                <c:formatCode>General</c:formatCode>
                <c:ptCount val="3"/>
                <c:pt idx="0">
                  <c:v>26</c:v>
                </c:pt>
                <c:pt idx="1">
                  <c:v>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66-4B5E-BBB0-A397C677FA7D}"/>
            </c:ext>
          </c:extLst>
        </c:ser>
        <c:ser>
          <c:idx val="4"/>
          <c:order val="4"/>
          <c:tx>
            <c:strRef>
              <c:f>'We-Bars'!$I$15</c:f>
              <c:strCache>
                <c:ptCount val="1"/>
                <c:pt idx="0">
                  <c:v>Multimode/Stripping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'We-Bars'!$I$16:$I$24</c15:sqref>
                  </c15:fullRef>
                </c:ext>
              </c:extLst>
              <c:f>'We-Bars'!$I$22:$I$24</c:f>
              <c:numCache>
                <c:formatCode>General</c:formatCode>
                <c:ptCount val="3"/>
                <c:pt idx="0">
                  <c:v>43</c:v>
                </c:pt>
                <c:pt idx="1">
                  <c:v>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66-4B5E-BBB0-A397C677FA7D}"/>
            </c:ext>
          </c:extLst>
        </c:ser>
        <c:ser>
          <c:idx val="5"/>
          <c:order val="5"/>
          <c:tx>
            <c:strRef>
              <c:f>'We-Bars'!$J$15</c:f>
              <c:strCache>
                <c:ptCount val="1"/>
                <c:pt idx="0">
                  <c:v>Shear/Catastrophic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'We-Bars'!$J$16:$J$24</c15:sqref>
                  </c15:fullRef>
                </c:ext>
              </c:extLst>
              <c:f>'We-Bars'!$J$22:$J$24</c:f>
              <c:numCache>
                <c:formatCode>General</c:formatCode>
                <c:ptCount val="3"/>
                <c:pt idx="0">
                  <c:v>920</c:v>
                </c:pt>
                <c:pt idx="1">
                  <c:v>993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66-4B5E-BBB0-A397C677F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0.01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'We-Bars'!$C$15</c:f>
              <c:strCache>
                <c:ptCount val="1"/>
                <c:pt idx="0">
                  <c:v>Deformation &lt;5%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'We-Bars'!$C$16:$C$24</c15:sqref>
                  </c15:fullRef>
                </c:ext>
              </c:extLst>
              <c:f>'We-Bars'!$C$19:$C$21</c:f>
              <c:numCache>
                <c:formatCode>General</c:formatCode>
                <c:ptCount val="3"/>
                <c:pt idx="0">
                  <c:v>0.38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5-4ECB-82AD-461148CF7162}"/>
            </c:ext>
          </c:extLst>
        </c:ser>
        <c:ser>
          <c:idx val="1"/>
          <c:order val="1"/>
          <c:tx>
            <c:strRef>
              <c:f>'We-Bars'!$D$15</c:f>
              <c:strCache>
                <c:ptCount val="1"/>
                <c:pt idx="0">
                  <c:v>5%&lt; Deformation &lt;10%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'We-Bars'!$D$16:$D$24</c15:sqref>
                  </c15:fullRef>
                </c:ext>
              </c:extLst>
              <c:f>'We-Bars'!$D$19:$D$21</c:f>
              <c:numCache>
                <c:formatCode>General</c:formatCode>
                <c:ptCount val="3"/>
                <c:pt idx="0">
                  <c:v>0.62</c:v>
                </c:pt>
                <c:pt idx="1">
                  <c:v>0.39999999999999997</c:v>
                </c:pt>
                <c:pt idx="2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5-4ECB-82AD-461148CF7162}"/>
            </c:ext>
          </c:extLst>
        </c:ser>
        <c:ser>
          <c:idx val="2"/>
          <c:order val="2"/>
          <c:tx>
            <c:strRef>
              <c:f>'We-Bars'!$E$15</c:f>
              <c:strCache>
                <c:ptCount val="1"/>
                <c:pt idx="0">
                  <c:v>10%&lt; Deformation &lt;20%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'We-Bars'!$E$16:$E$24</c15:sqref>
                  </c15:fullRef>
                </c:ext>
              </c:extLst>
              <c:f>'We-Bars'!$E$19:$E$21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0.55000000000000004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5-4ECB-82AD-461148CF7162}"/>
            </c:ext>
          </c:extLst>
        </c:ser>
        <c:ser>
          <c:idx val="3"/>
          <c:order val="3"/>
          <c:tx>
            <c:strRef>
              <c:f>'We-Bars'!$F$15</c:f>
              <c:strCache>
                <c:ptCount val="1"/>
                <c:pt idx="0">
                  <c:v>Deformation &gt;20%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'We-Bars'!$F$16:$F$24</c15:sqref>
                  </c15:fullRef>
                </c:ext>
              </c:extLst>
              <c:f>'We-Bars'!$F$19:$F$21</c:f>
              <c:numCache>
                <c:formatCode>General</c:formatCode>
                <c:ptCount val="3"/>
                <c:pt idx="0">
                  <c:v>0.89999999999999991</c:v>
                </c:pt>
                <c:pt idx="1">
                  <c:v>0.30000000000000004</c:v>
                </c:pt>
                <c:pt idx="2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85-4ECB-82AD-461148CF7162}"/>
            </c:ext>
          </c:extLst>
        </c:ser>
        <c:ser>
          <c:idx val="4"/>
          <c:order val="4"/>
          <c:tx>
            <c:strRef>
              <c:f>'We-Bars'!$G$15</c:f>
              <c:strCache>
                <c:ptCount val="1"/>
                <c:pt idx="0">
                  <c:v>Osc. Def.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'We-Bars'!$G$16:$G$24</c15:sqref>
                  </c15:fullRef>
                </c:ext>
              </c:extLst>
              <c:f>'We-Bars'!$G$19:$G$21</c:f>
              <c:numCache>
                <c:formatCode>General</c:formatCode>
                <c:ptCount val="3"/>
                <c:pt idx="0">
                  <c:v>8</c:v>
                </c:pt>
                <c:pt idx="1">
                  <c:v>5.45</c:v>
                </c:pt>
                <c:pt idx="2">
                  <c:v>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85-4ECB-82AD-461148CF7162}"/>
            </c:ext>
          </c:extLst>
        </c:ser>
        <c:ser>
          <c:idx val="5"/>
          <c:order val="5"/>
          <c:tx>
            <c:strRef>
              <c:f>'We-Bars'!$H$15</c:f>
              <c:strCache>
                <c:ptCount val="1"/>
                <c:pt idx="0">
                  <c:v>Bag Breakup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'We-Bars'!$H$16:$H$24</c15:sqref>
                  </c15:fullRef>
                </c:ext>
              </c:extLst>
              <c:f>'We-Bars'!$H$19:$H$21</c:f>
              <c:numCache>
                <c:formatCode>General</c:formatCode>
                <c:ptCount val="3"/>
                <c:pt idx="0">
                  <c:v>24</c:v>
                </c:pt>
                <c:pt idx="1">
                  <c:v>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85-4ECB-82AD-461148CF7162}"/>
            </c:ext>
          </c:extLst>
        </c:ser>
        <c:ser>
          <c:idx val="6"/>
          <c:order val="6"/>
          <c:tx>
            <c:strRef>
              <c:f>'We-Bars'!$I$15</c:f>
              <c:strCache>
                <c:ptCount val="1"/>
                <c:pt idx="0">
                  <c:v>Multimode/Stripping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'We-Bars'!$I$16:$I$24</c15:sqref>
                  </c15:fullRef>
                </c:ext>
              </c:extLst>
              <c:f>'We-Bars'!$I$19:$I$21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85-4ECB-82AD-461148CF7162}"/>
            </c:ext>
          </c:extLst>
        </c:ser>
        <c:ser>
          <c:idx val="7"/>
          <c:order val="7"/>
          <c:tx>
            <c:strRef>
              <c:f>'We-Bars'!$J$15</c:f>
              <c:strCache>
                <c:ptCount val="1"/>
                <c:pt idx="0">
                  <c:v>Shear/Catastrophic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'We-Bars'!$A$19:$B$21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'We-Bars'!$J$16:$J$24</c15:sqref>
                  </c15:fullRef>
                </c:ext>
              </c:extLst>
              <c:f>'We-Bars'!$J$19:$J$21</c:f>
              <c:numCache>
                <c:formatCode>General</c:formatCode>
                <c:ptCount val="3"/>
                <c:pt idx="0">
                  <c:v>920</c:v>
                </c:pt>
                <c:pt idx="1">
                  <c:v>993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85-4ECB-82AD-461148CF7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Weber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'We-Bars'!$C$15</c:f>
              <c:strCache>
                <c:ptCount val="1"/>
                <c:pt idx="0">
                  <c:v>Deformation &lt;5%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'We-Bars'!$C$16:$C$24</c15:sqref>
                  </c15:fullRef>
                </c:ext>
              </c:extLst>
              <c:f>'We-Bars'!$C$22:$C$24</c:f>
              <c:numCache>
                <c:formatCode>General</c:formatCode>
                <c:ptCount val="3"/>
                <c:pt idx="0">
                  <c:v>0.38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C-433E-8670-B882B9876B66}"/>
            </c:ext>
          </c:extLst>
        </c:ser>
        <c:ser>
          <c:idx val="1"/>
          <c:order val="1"/>
          <c:tx>
            <c:strRef>
              <c:f>'We-Bars'!$D$15</c:f>
              <c:strCache>
                <c:ptCount val="1"/>
                <c:pt idx="0">
                  <c:v>5%&lt; Deformation &lt;10%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'We-Bars'!$D$16:$D$24</c15:sqref>
                  </c15:fullRef>
                </c:ext>
              </c:extLst>
              <c:f>'We-Bars'!$D$22:$D$24</c:f>
              <c:numCache>
                <c:formatCode>General</c:formatCode>
                <c:ptCount val="3"/>
                <c:pt idx="0">
                  <c:v>0.62</c:v>
                </c:pt>
                <c:pt idx="1">
                  <c:v>0.39999999999999997</c:v>
                </c:pt>
                <c:pt idx="2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C-433E-8670-B882B9876B66}"/>
            </c:ext>
          </c:extLst>
        </c:ser>
        <c:ser>
          <c:idx val="2"/>
          <c:order val="2"/>
          <c:tx>
            <c:strRef>
              <c:f>'We-Bars'!$E$15</c:f>
              <c:strCache>
                <c:ptCount val="1"/>
                <c:pt idx="0">
                  <c:v>10%&lt; Deformation &lt;20%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'We-Bars'!$E$16:$E$24</c15:sqref>
                  </c15:fullRef>
                </c:ext>
              </c:extLst>
              <c:f>'We-Bars'!$E$22:$E$24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0.65000000000000013</c:v>
                </c:pt>
                <c:pt idx="2">
                  <c:v>0.65000000000000013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C-433E-8670-B882B9876B66}"/>
            </c:ext>
          </c:extLst>
        </c:ser>
        <c:ser>
          <c:idx val="3"/>
          <c:order val="3"/>
          <c:tx>
            <c:strRef>
              <c:f>'We-Bars'!$F$15</c:f>
              <c:strCache>
                <c:ptCount val="1"/>
                <c:pt idx="0">
                  <c:v>Deformation &gt;20%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'We-Bars'!$F$16:$F$24</c15:sqref>
                  </c15:fullRef>
                </c:ext>
              </c:extLst>
              <c:f>'We-Bars'!$F$22:$F$24</c:f>
              <c:numCache>
                <c:formatCode>General</c:formatCode>
                <c:ptCount val="3"/>
                <c:pt idx="0">
                  <c:v>2.9</c:v>
                </c:pt>
                <c:pt idx="1">
                  <c:v>1.65</c:v>
                </c:pt>
                <c:pt idx="2">
                  <c:v>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CC-433E-8670-B882B9876B66}"/>
            </c:ext>
          </c:extLst>
        </c:ser>
        <c:ser>
          <c:idx val="4"/>
          <c:order val="4"/>
          <c:tx>
            <c:strRef>
              <c:f>'We-Bars'!$G$15</c:f>
              <c:strCache>
                <c:ptCount val="1"/>
                <c:pt idx="0">
                  <c:v>Osc. Def.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'We-Bars'!$G$16:$G$24</c15:sqref>
                  </c15:fullRef>
                </c:ext>
              </c:extLst>
              <c:f>'We-Bars'!$G$22:$G$24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CC-433E-8670-B882B9876B66}"/>
            </c:ext>
          </c:extLst>
        </c:ser>
        <c:ser>
          <c:idx val="5"/>
          <c:order val="5"/>
          <c:tx>
            <c:strRef>
              <c:f>'We-Bars'!$H$15</c:f>
              <c:strCache>
                <c:ptCount val="1"/>
                <c:pt idx="0">
                  <c:v>Bag Breakup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'We-Bars'!$H$16:$H$24</c15:sqref>
                  </c15:fullRef>
                </c:ext>
              </c:extLst>
              <c:f>'We-Bars'!$H$22:$H$24</c:f>
              <c:numCache>
                <c:formatCode>General</c:formatCode>
                <c:ptCount val="3"/>
                <c:pt idx="0">
                  <c:v>26</c:v>
                </c:pt>
                <c:pt idx="1">
                  <c:v>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CC-433E-8670-B882B9876B66}"/>
            </c:ext>
          </c:extLst>
        </c:ser>
        <c:ser>
          <c:idx val="6"/>
          <c:order val="6"/>
          <c:tx>
            <c:strRef>
              <c:f>'We-Bars'!$I$15</c:f>
              <c:strCache>
                <c:ptCount val="1"/>
                <c:pt idx="0">
                  <c:v>Multimode/Stripping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'We-Bars'!$I$16:$I$24</c15:sqref>
                  </c15:fullRef>
                </c:ext>
              </c:extLst>
              <c:f>'We-Bars'!$I$22:$I$24</c:f>
              <c:numCache>
                <c:formatCode>General</c:formatCode>
                <c:ptCount val="3"/>
                <c:pt idx="0">
                  <c:v>43</c:v>
                </c:pt>
                <c:pt idx="1">
                  <c:v>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CC-433E-8670-B882B9876B66}"/>
            </c:ext>
          </c:extLst>
        </c:ser>
        <c:ser>
          <c:idx val="7"/>
          <c:order val="7"/>
          <c:tx>
            <c:strRef>
              <c:f>'We-Bars'!$J$15</c:f>
              <c:strCache>
                <c:ptCount val="1"/>
                <c:pt idx="0">
                  <c:v>Shear/Catastrophic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'We-Bars'!$A$16:$B$24</c15:sqref>
                  </c15:fullRef>
                </c:ext>
              </c:extLst>
              <c:f>'We-Bars'!$A$22:$B$24</c:f>
              <c:multiLvlStrCache>
                <c:ptCount val="3"/>
                <c:lvl>
                  <c:pt idx="0">
                    <c:v>Hsiang &amp; Faeth (1995)</c:v>
                  </c:pt>
                  <c:pt idx="1">
                    <c:v>TAB</c:v>
                  </c:pt>
                  <c:pt idx="2">
                    <c:v>ETAB</c:v>
                  </c:pt>
                </c:lvl>
                <c:lvl>
                  <c:pt idx="0">
                    <c:v>0.100</c:v>
                  </c:pt>
                  <c:pt idx="1">
                    <c:v>0.100</c:v>
                  </c:pt>
                  <c:pt idx="2">
                    <c:v>0.100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'We-Bars'!$J$16:$J$24</c15:sqref>
                  </c15:fullRef>
                </c:ext>
              </c:extLst>
              <c:f>'We-Bars'!$J$22:$J$24</c:f>
              <c:numCache>
                <c:formatCode>General</c:formatCode>
                <c:ptCount val="3"/>
                <c:pt idx="0">
                  <c:v>920</c:v>
                </c:pt>
                <c:pt idx="1">
                  <c:v>993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CC-433E-8670-B882B9876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Weber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Tanner,</a:t>
            </a:r>
            <a:r>
              <a:rPr lang="en-US" baseline="0"/>
              <a:t> 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'Tanner Deformation'!$I$2</c:f>
              <c:strCache>
                <c:ptCount val="1"/>
                <c:pt idx="0">
                  <c:v>&lt;5%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Deformation'!$I$3:$I$80</c:f>
              <c:numCache>
                <c:formatCode>General</c:formatCode>
                <c:ptCount val="78"/>
                <c:pt idx="0">
                  <c:v>0.2</c:v>
                </c:pt>
                <c:pt idx="26">
                  <c:v>0.2</c:v>
                </c:pt>
                <c:pt idx="5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5-4FB0-A88D-6230E643A470}"/>
            </c:ext>
          </c:extLst>
        </c:ser>
        <c:ser>
          <c:idx val="1"/>
          <c:order val="1"/>
          <c:tx>
            <c:strRef>
              <c:f>'Tanner Deformation'!$J$2</c:f>
              <c:strCache>
                <c:ptCount val="1"/>
                <c:pt idx="0">
                  <c:v>5% &gt; Deformation &gt;20%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Deformation'!$J$3:$J$80</c:f>
              <c:numCache>
                <c:formatCode>General</c:formatCode>
                <c:ptCount val="78"/>
                <c:pt idx="1">
                  <c:v>0.4</c:v>
                </c:pt>
                <c:pt idx="2">
                  <c:v>0.6</c:v>
                </c:pt>
                <c:pt idx="27">
                  <c:v>0.4</c:v>
                </c:pt>
                <c:pt idx="28">
                  <c:v>0.6</c:v>
                </c:pt>
                <c:pt idx="53">
                  <c:v>0.4</c:v>
                </c:pt>
                <c:pt idx="54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05-4FB0-A88D-6230E643A470}"/>
            </c:ext>
          </c:extLst>
        </c:ser>
        <c:ser>
          <c:idx val="2"/>
          <c:order val="2"/>
          <c:tx>
            <c:strRef>
              <c:f>'Tanner Deformation'!$K$2</c:f>
              <c:strCache>
                <c:ptCount val="1"/>
                <c:pt idx="0">
                  <c:v>10%&gt; Deformation &gt;20%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Deformation'!$K$3:$K$80</c:f>
              <c:numCache>
                <c:formatCode>General</c:formatCode>
                <c:ptCount val="78"/>
                <c:pt idx="3">
                  <c:v>0.8</c:v>
                </c:pt>
                <c:pt idx="4">
                  <c:v>1</c:v>
                </c:pt>
                <c:pt idx="5">
                  <c:v>1.1000000000000001</c:v>
                </c:pt>
                <c:pt idx="6">
                  <c:v>1.2</c:v>
                </c:pt>
                <c:pt idx="29">
                  <c:v>0.8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55">
                  <c:v>0.8</c:v>
                </c:pt>
                <c:pt idx="56">
                  <c:v>1</c:v>
                </c:pt>
                <c:pt idx="57">
                  <c:v>1.1000000000000001</c:v>
                </c:pt>
                <c:pt idx="58">
                  <c:v>1.2</c:v>
                </c:pt>
                <c:pt idx="59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05-4FB0-A88D-6230E643A470}"/>
            </c:ext>
          </c:extLst>
        </c:ser>
        <c:ser>
          <c:idx val="3"/>
          <c:order val="3"/>
          <c:tx>
            <c:strRef>
              <c:f>'Tanner Deformation'!$L$2</c:f>
              <c:strCache>
                <c:ptCount val="1"/>
                <c:pt idx="0">
                  <c:v>&gt;20%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Deformation'!$L$3:$L$80</c:f>
              <c:numCache>
                <c:formatCode>General</c:formatCode>
                <c:ptCount val="78"/>
                <c:pt idx="7">
                  <c:v>1.3</c:v>
                </c:pt>
                <c:pt idx="8">
                  <c:v>1.4</c:v>
                </c:pt>
                <c:pt idx="9">
                  <c:v>1.5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60">
                  <c:v>1.4</c:v>
                </c:pt>
                <c:pt idx="61">
                  <c:v>1.5</c:v>
                </c:pt>
                <c:pt idx="62">
                  <c:v>1.6</c:v>
                </c:pt>
                <c:pt idx="63">
                  <c:v>1.7</c:v>
                </c:pt>
                <c:pt idx="64">
                  <c:v>1.8</c:v>
                </c:pt>
                <c:pt idx="65">
                  <c:v>1.9</c:v>
                </c:pt>
                <c:pt idx="6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05-4FB0-A88D-6230E643A470}"/>
            </c:ext>
          </c:extLst>
        </c:ser>
        <c:ser>
          <c:idx val="4"/>
          <c:order val="4"/>
          <c:tx>
            <c:strRef>
              <c:f>'Tanner Deformation'!$M$2</c:f>
              <c:strCache>
                <c:ptCount val="1"/>
                <c:pt idx="0">
                  <c:v>Oscillatory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Deformation'!$M$3:$M$80</c:f>
              <c:numCache>
                <c:formatCode>General</c:formatCode>
                <c:ptCount val="78"/>
                <c:pt idx="10">
                  <c:v>1.6</c:v>
                </c:pt>
                <c:pt idx="11">
                  <c:v>1.7</c:v>
                </c:pt>
                <c:pt idx="12">
                  <c:v>1.8</c:v>
                </c:pt>
                <c:pt idx="13">
                  <c:v>1.9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  <c:pt idx="41">
                  <c:v>4</c:v>
                </c:pt>
                <c:pt idx="42">
                  <c:v>6</c:v>
                </c:pt>
                <c:pt idx="67">
                  <c:v>4</c:v>
                </c:pt>
                <c:pt idx="6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05-4FB0-A88D-6230E643A470}"/>
            </c:ext>
          </c:extLst>
        </c:ser>
        <c:ser>
          <c:idx val="5"/>
          <c:order val="5"/>
          <c:tx>
            <c:strRef>
              <c:f>'Tanner Deformation'!$N$2</c:f>
              <c:strCache>
                <c:ptCount val="1"/>
                <c:pt idx="0">
                  <c:v>Bag Breakup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Deformation'!$N$3:$N$80</c:f>
              <c:numCache>
                <c:formatCode>General</c:formatCode>
                <c:ptCount val="78"/>
                <c:pt idx="17">
                  <c:v>8</c:v>
                </c:pt>
                <c:pt idx="18">
                  <c:v>10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43">
                  <c:v>8</c:v>
                </c:pt>
                <c:pt idx="44">
                  <c:v>10</c:v>
                </c:pt>
                <c:pt idx="45">
                  <c:v>20</c:v>
                </c:pt>
                <c:pt idx="46">
                  <c:v>40</c:v>
                </c:pt>
                <c:pt idx="47">
                  <c:v>60</c:v>
                </c:pt>
                <c:pt idx="69">
                  <c:v>8</c:v>
                </c:pt>
                <c:pt idx="70">
                  <c:v>10</c:v>
                </c:pt>
                <c:pt idx="71">
                  <c:v>20</c:v>
                </c:pt>
                <c:pt idx="72">
                  <c:v>40</c:v>
                </c:pt>
                <c:pt idx="7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0005-4FB0-A88D-6230E643A470}"/>
            </c:ext>
          </c:extLst>
        </c:ser>
        <c:ser>
          <c:idx val="6"/>
          <c:order val="6"/>
          <c:tx>
            <c:strRef>
              <c:f>'Tanner Deformation'!$O$2</c:f>
              <c:strCache>
                <c:ptCount val="1"/>
                <c:pt idx="0">
                  <c:v>Stripping Breakup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Deformation'!$O$3:$O$80</c:f>
              <c:numCache>
                <c:formatCode>General</c:formatCode>
                <c:ptCount val="78"/>
                <c:pt idx="22">
                  <c:v>80</c:v>
                </c:pt>
                <c:pt idx="23">
                  <c:v>100</c:v>
                </c:pt>
                <c:pt idx="24">
                  <c:v>200</c:v>
                </c:pt>
                <c:pt idx="48">
                  <c:v>80</c:v>
                </c:pt>
                <c:pt idx="49">
                  <c:v>100</c:v>
                </c:pt>
                <c:pt idx="50">
                  <c:v>200</c:v>
                </c:pt>
                <c:pt idx="74">
                  <c:v>80</c:v>
                </c:pt>
                <c:pt idx="75">
                  <c:v>100</c:v>
                </c:pt>
                <c:pt idx="7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A-4CC7-867A-1D1BB7BE72D0}"/>
            </c:ext>
          </c:extLst>
        </c:ser>
        <c:ser>
          <c:idx val="7"/>
          <c:order val="7"/>
          <c:tx>
            <c:strRef>
              <c:f>'Tanner Deformation'!$P$2</c:f>
              <c:strCache>
                <c:ptCount val="1"/>
                <c:pt idx="0">
                  <c:v>Catastrophic Breakup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'Tanner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'Tanner Deformation'!$P$3:$P$80</c:f>
              <c:numCache>
                <c:formatCode>General</c:formatCode>
                <c:ptCount val="78"/>
                <c:pt idx="25">
                  <c:v>400</c:v>
                </c:pt>
                <c:pt idx="51">
                  <c:v>400</c:v>
                </c:pt>
                <c:pt idx="77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3A-4CC7-867A-1D1BB7BE7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01264"/>
        <c:axId val="38301744"/>
      </c:scatterChart>
      <c:valAx>
        <c:axId val="383012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744"/>
        <c:crosses val="autoZero"/>
        <c:crossBetween val="midCat"/>
      </c:valAx>
      <c:valAx>
        <c:axId val="383017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O'Rourke,</a:t>
            </a:r>
            <a:r>
              <a:rPr lang="en-US" baseline="0"/>
              <a:t> 1987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'O''Rourke Deformation'!$I$2</c:f>
              <c:strCache>
                <c:ptCount val="1"/>
                <c:pt idx="0">
                  <c:v>&lt;5%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'O''Rourke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'O''Rourke Deformation'!$I$3:$I$80</c:f>
              <c:numCache>
                <c:formatCode>General</c:formatCode>
                <c:ptCount val="78"/>
                <c:pt idx="0">
                  <c:v>0.2</c:v>
                </c:pt>
                <c:pt idx="26">
                  <c:v>0.2</c:v>
                </c:pt>
                <c:pt idx="5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A4-4139-A1A5-F1E110F64B8C}"/>
            </c:ext>
          </c:extLst>
        </c:ser>
        <c:ser>
          <c:idx val="1"/>
          <c:order val="1"/>
          <c:tx>
            <c:strRef>
              <c:f>'O''Rourke Deformation'!$J$2</c:f>
              <c:strCache>
                <c:ptCount val="1"/>
                <c:pt idx="0">
                  <c:v>5% &gt; Deformation &gt;20%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'O''Rourke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'O''Rourke Deformation'!$J$3:$J$80</c:f>
              <c:numCache>
                <c:formatCode>General</c:formatCode>
                <c:ptCount val="78"/>
                <c:pt idx="1">
                  <c:v>0.4</c:v>
                </c:pt>
                <c:pt idx="2">
                  <c:v>0.6</c:v>
                </c:pt>
                <c:pt idx="27">
                  <c:v>0.4</c:v>
                </c:pt>
                <c:pt idx="28">
                  <c:v>0.6</c:v>
                </c:pt>
                <c:pt idx="53">
                  <c:v>0.4</c:v>
                </c:pt>
                <c:pt idx="54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A4-4139-A1A5-F1E110F64B8C}"/>
            </c:ext>
          </c:extLst>
        </c:ser>
        <c:ser>
          <c:idx val="2"/>
          <c:order val="2"/>
          <c:tx>
            <c:strRef>
              <c:f>'O''Rourke Deformation'!$K$2</c:f>
              <c:strCache>
                <c:ptCount val="1"/>
                <c:pt idx="0">
                  <c:v>10%&gt; Deformation &gt;20%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'O''Rourke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'O''Rourke Deformation'!$K$3:$K$80</c:f>
              <c:numCache>
                <c:formatCode>General</c:formatCode>
                <c:ptCount val="78"/>
                <c:pt idx="3">
                  <c:v>0.8</c:v>
                </c:pt>
                <c:pt idx="4">
                  <c:v>1</c:v>
                </c:pt>
                <c:pt idx="5">
                  <c:v>1.1000000000000001</c:v>
                </c:pt>
                <c:pt idx="6">
                  <c:v>1.2</c:v>
                </c:pt>
                <c:pt idx="29">
                  <c:v>0.8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55">
                  <c:v>0.8</c:v>
                </c:pt>
                <c:pt idx="56">
                  <c:v>1</c:v>
                </c:pt>
                <c:pt idx="57">
                  <c:v>1.1000000000000001</c:v>
                </c:pt>
                <c:pt idx="58">
                  <c:v>1.2</c:v>
                </c:pt>
                <c:pt idx="59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A4-4139-A1A5-F1E110F64B8C}"/>
            </c:ext>
          </c:extLst>
        </c:ser>
        <c:ser>
          <c:idx val="3"/>
          <c:order val="3"/>
          <c:tx>
            <c:strRef>
              <c:f>'O''Rourke Deformation'!$L$2</c:f>
              <c:strCache>
                <c:ptCount val="1"/>
                <c:pt idx="0">
                  <c:v>&gt;20%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'O''Rourke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'O''Rourke Deformation'!$L$3:$L$80</c:f>
              <c:numCache>
                <c:formatCode>General</c:formatCode>
                <c:ptCount val="78"/>
                <c:pt idx="7">
                  <c:v>1.3</c:v>
                </c:pt>
                <c:pt idx="8">
                  <c:v>1.4</c:v>
                </c:pt>
                <c:pt idx="9">
                  <c:v>1.5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60">
                  <c:v>1.4</c:v>
                </c:pt>
                <c:pt idx="61">
                  <c:v>1.5</c:v>
                </c:pt>
                <c:pt idx="62">
                  <c:v>1.6</c:v>
                </c:pt>
                <c:pt idx="63">
                  <c:v>1.7</c:v>
                </c:pt>
                <c:pt idx="64">
                  <c:v>1.8</c:v>
                </c:pt>
                <c:pt idx="65">
                  <c:v>1.9</c:v>
                </c:pt>
                <c:pt idx="6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A4-4139-A1A5-F1E110F64B8C}"/>
            </c:ext>
          </c:extLst>
        </c:ser>
        <c:ser>
          <c:idx val="4"/>
          <c:order val="4"/>
          <c:tx>
            <c:strRef>
              <c:f>'O''Rourke Deformation'!$M$2</c:f>
              <c:strCache>
                <c:ptCount val="1"/>
                <c:pt idx="0">
                  <c:v>Oscillatory deformation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'O''Rourke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'O''Rourke Deformation'!$M$3:$M$80</c:f>
              <c:numCache>
                <c:formatCode>General</c:formatCode>
                <c:ptCount val="78"/>
                <c:pt idx="10">
                  <c:v>1.6</c:v>
                </c:pt>
                <c:pt idx="11">
                  <c:v>1.7</c:v>
                </c:pt>
                <c:pt idx="12">
                  <c:v>1.8</c:v>
                </c:pt>
                <c:pt idx="13">
                  <c:v>1.9</c:v>
                </c:pt>
                <c:pt idx="14">
                  <c:v>2</c:v>
                </c:pt>
                <c:pt idx="15">
                  <c:v>4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  <c:pt idx="41">
                  <c:v>4</c:v>
                </c:pt>
                <c:pt idx="6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D-41D7-BF21-7BC589E41D6D}"/>
            </c:ext>
          </c:extLst>
        </c:ser>
        <c:ser>
          <c:idx val="5"/>
          <c:order val="5"/>
          <c:tx>
            <c:strRef>
              <c:f>'O''Rourke Deformation'!$N$2</c:f>
              <c:strCache>
                <c:ptCount val="1"/>
                <c:pt idx="0">
                  <c:v>Bag Breakup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'O''Rourke Deformation'!$H$3:$H$80</c:f>
              <c:numCache>
                <c:formatCode>General</c:formatCode>
                <c:ptCount val="7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</c:numCache>
            </c:numRef>
          </c:xVal>
          <c:yVal>
            <c:numRef>
              <c:f>'O''Rourke Deformation'!$N$3:$N$80</c:f>
              <c:numCache>
                <c:formatCode>General</c:formatCode>
                <c:ptCount val="78"/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100</c:v>
                </c:pt>
                <c:pt idx="24">
                  <c:v>200</c:v>
                </c:pt>
                <c:pt idx="25">
                  <c:v>400</c:v>
                </c:pt>
                <c:pt idx="42">
                  <c:v>6</c:v>
                </c:pt>
                <c:pt idx="43">
                  <c:v>8</c:v>
                </c:pt>
                <c:pt idx="44">
                  <c:v>10</c:v>
                </c:pt>
                <c:pt idx="45">
                  <c:v>20</c:v>
                </c:pt>
                <c:pt idx="46">
                  <c:v>40</c:v>
                </c:pt>
                <c:pt idx="47">
                  <c:v>60</c:v>
                </c:pt>
                <c:pt idx="48">
                  <c:v>80</c:v>
                </c:pt>
                <c:pt idx="49">
                  <c:v>100</c:v>
                </c:pt>
                <c:pt idx="50">
                  <c:v>200</c:v>
                </c:pt>
                <c:pt idx="51">
                  <c:v>400</c:v>
                </c:pt>
                <c:pt idx="68">
                  <c:v>6</c:v>
                </c:pt>
                <c:pt idx="69">
                  <c:v>8</c:v>
                </c:pt>
                <c:pt idx="70">
                  <c:v>10</c:v>
                </c:pt>
                <c:pt idx="71">
                  <c:v>20</c:v>
                </c:pt>
                <c:pt idx="72">
                  <c:v>40</c:v>
                </c:pt>
                <c:pt idx="73">
                  <c:v>60</c:v>
                </c:pt>
                <c:pt idx="74">
                  <c:v>80</c:v>
                </c:pt>
                <c:pt idx="75">
                  <c:v>100</c:v>
                </c:pt>
                <c:pt idx="76">
                  <c:v>200</c:v>
                </c:pt>
                <c:pt idx="77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AD-41D7-BF21-7BC589E4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01264"/>
        <c:axId val="38301744"/>
      </c:scatterChart>
      <c:valAx>
        <c:axId val="383012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744"/>
        <c:crosses val="autoZero"/>
        <c:crossBetween val="midCat"/>
      </c:valAx>
      <c:valAx>
        <c:axId val="383017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186300</xdr:colOff>
      <xdr:row>1</xdr:row>
      <xdr:rowOff>138112</xdr:rowOff>
    </xdr:from>
    <xdr:to>
      <xdr:col>12</xdr:col>
      <xdr:colOff>4762</xdr:colOff>
      <xdr:row>20</xdr:row>
      <xdr:rowOff>168423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0BE5D-DF08-B21E-67D8-015D9616F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4113" y="366712"/>
          <a:ext cx="4352362" cy="3468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138112</xdr:colOff>
      <xdr:row>0</xdr:row>
      <xdr:rowOff>42863</xdr:rowOff>
    </xdr:from>
    <xdr:to>
      <xdr:col>19</xdr:col>
      <xdr:colOff>319087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EB5DC-29B0-A907-26A9-AFC875FFF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128587</xdr:colOff>
      <xdr:row>1</xdr:row>
      <xdr:rowOff>33337</xdr:rowOff>
    </xdr:from>
    <xdr:to>
      <xdr:col>36</xdr:col>
      <xdr:colOff>47624</xdr:colOff>
      <xdr:row>23</xdr:row>
      <xdr:rowOff>61913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53F58F-6452-42E4-AA9A-E42694BA6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628650</xdr:colOff>
      <xdr:row>8</xdr:row>
      <xdr:rowOff>100013</xdr:rowOff>
    </xdr:from>
    <xdr:to>
      <xdr:col>35</xdr:col>
      <xdr:colOff>528637</xdr:colOff>
      <xdr:row>30</xdr:row>
      <xdr:rowOff>109538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341F8D-50D8-457D-871F-5D3DAAB95783}"/>
            </a:ext>
            <a:ext uri="{147F2762-F138-4A5C-976F-8EAC2B608ADB}">
              <a16:predDERef xmlns:a16="http://schemas.microsoft.com/office/drawing/2014/main" pred="{EE5EB5DC-29B0-A907-26A9-AFC875FFF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33337</xdr:colOff>
      <xdr:row>27</xdr:row>
      <xdr:rowOff>133352</xdr:rowOff>
    </xdr:from>
    <xdr:to>
      <xdr:col>35</xdr:col>
      <xdr:colOff>576262</xdr:colOff>
      <xdr:row>49</xdr:row>
      <xdr:rowOff>128589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F8F24B-EA1B-46B4-9EE9-EE8992AF5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366712</xdr:colOff>
      <xdr:row>1</xdr:row>
      <xdr:rowOff>71437</xdr:rowOff>
    </xdr:from>
    <xdr:to>
      <xdr:col>26</xdr:col>
      <xdr:colOff>462002</xdr:colOff>
      <xdr:row>22</xdr:row>
      <xdr:rowOff>97982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CD364D-9E9A-C49B-161B-BA024D40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39787" y="252412"/>
          <a:ext cx="4629190" cy="3827020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19</xdr:row>
      <xdr:rowOff>4763</xdr:rowOff>
    </xdr:from>
    <xdr:to>
      <xdr:col>19</xdr:col>
      <xdr:colOff>285750</xdr:colOff>
      <xdr:row>37</xdr:row>
      <xdr:rowOff>33337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220E6B4-A057-40EE-AD19-0D09E2EF4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128588</xdr:colOff>
      <xdr:row>37</xdr:row>
      <xdr:rowOff>147638</xdr:rowOff>
    </xdr:from>
    <xdr:to>
      <xdr:col>19</xdr:col>
      <xdr:colOff>309563</xdr:colOff>
      <xdr:row>55</xdr:row>
      <xdr:rowOff>176212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BA0CBC9-08E5-4D5E-B15C-855F1D407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142874</xdr:colOff>
      <xdr:row>3</xdr:row>
      <xdr:rowOff>19049</xdr:rowOff>
    </xdr:from>
    <xdr:to>
      <xdr:col>26</xdr:col>
      <xdr:colOff>419100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15425-F5CD-E959-05AB-C4385C232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57149</xdr:colOff>
      <xdr:row>2</xdr:row>
      <xdr:rowOff>133349</xdr:rowOff>
    </xdr:from>
    <xdr:to>
      <xdr:col>25</xdr:col>
      <xdr:colOff>333375</xdr:colOff>
      <xdr:row>32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3BCDC-257C-4402-B377-B20099AEC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workbookViewId="0">
      <pane ySplit="1" topLeftCell="A2" activePane="bottomLeft" state="frozen"/>
      <selection pane="bottomLeft" activeCell="P3" sqref="P3"/>
    </sheetView>
  </sheetViews>
  <sheetFormatPr defaultRowHeight="14.25" x14ac:dyDescent="0.45"/>
  <cols>
    <col min="1" max="1" width="20.1328125" customWidth="1"/>
    <col min="2" max="2" width="12.1328125" customWidth="1"/>
    <col min="4" max="4" width="12.265625" customWidth="1"/>
    <col min="5" max="5" width="21.3984375" customWidth="1"/>
    <col min="16" max="16" width="16.265625" customWidth="1"/>
    <col min="17" max="17" width="16.59765625" customWidth="1"/>
    <col min="19" max="19" width="7.59765625" customWidth="1"/>
    <col min="22" max="22" width="14" customWidth="1"/>
    <col min="23" max="23" width="15.1328125" customWidth="1"/>
  </cols>
  <sheetData>
    <row r="1" spans="1:23" ht="18" x14ac:dyDescent="0.55000000000000004">
      <c r="A1" s="24" t="s">
        <v>0</v>
      </c>
      <c r="B1" s="24"/>
      <c r="C1" s="24"/>
      <c r="D1" s="24"/>
      <c r="E1" s="24"/>
      <c r="H1" s="3"/>
      <c r="I1" s="3"/>
      <c r="M1" s="5" t="s">
        <v>1</v>
      </c>
      <c r="N1" s="1" t="s">
        <v>2</v>
      </c>
      <c r="O1" s="1" t="s">
        <v>3</v>
      </c>
      <c r="P1" s="6" t="s">
        <v>4</v>
      </c>
      <c r="Q1" s="6" t="s">
        <v>5</v>
      </c>
      <c r="R1" s="1"/>
      <c r="S1" s="1" t="s">
        <v>6</v>
      </c>
      <c r="T1" s="1" t="s">
        <v>7</v>
      </c>
      <c r="V1" s="1" t="s">
        <v>8</v>
      </c>
      <c r="W1" s="1" t="s">
        <v>9</v>
      </c>
    </row>
    <row r="2" spans="1:23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M2" s="4">
        <v>0.2</v>
      </c>
      <c r="N2">
        <f>10^-3</f>
        <v>1E-3</v>
      </c>
      <c r="O2">
        <f>SQRT(M2)/N2</f>
        <v>447.21359549995793</v>
      </c>
      <c r="P2" s="8">
        <f>($C$9^2)/($C$5*$C$7*(N2^2))</f>
        <v>1.1322611903507133E-2</v>
      </c>
      <c r="Q2" s="7">
        <f>SQRT(M2*$C$7/(P2*$C$4))</f>
        <v>1.0294785738216847</v>
      </c>
      <c r="S2" s="4">
        <f>$C$4*(Q2^2)*P2/$C$7</f>
        <v>0.20000000000000007</v>
      </c>
      <c r="T2">
        <f>$C$9/SQRT($C$5*P2*$C$7)</f>
        <v>9.999999999999998E-4</v>
      </c>
    </row>
    <row r="3" spans="1:23" x14ac:dyDescent="0.45">
      <c r="A3" s="2"/>
      <c r="B3" s="2"/>
      <c r="C3" s="2"/>
      <c r="D3" s="2"/>
      <c r="E3" s="2"/>
      <c r="M3" s="4">
        <v>0.4</v>
      </c>
      <c r="N3">
        <v>1E-3</v>
      </c>
      <c r="O3">
        <f>SQRT(M3)/N3</f>
        <v>632.45553203367592</v>
      </c>
      <c r="P3" s="8">
        <f>($C$9^2)/($C$5*$C$7*(N3^2))</f>
        <v>1.1322611903507133E-2</v>
      </c>
      <c r="Q3" s="7">
        <f>SQRT(M3*$C$7/(P3*$C$4))</f>
        <v>1.455902561271138</v>
      </c>
      <c r="S3" s="4">
        <f>$C$4*(Q3^2)*P3/$C$7</f>
        <v>0.40000000000000013</v>
      </c>
      <c r="T3">
        <f>$C$9/SQRT($C$5*P3*$C$7)</f>
        <v>9.999999999999998E-4</v>
      </c>
    </row>
    <row r="4" spans="1:23" x14ac:dyDescent="0.45">
      <c r="A4" t="s">
        <v>15</v>
      </c>
      <c r="B4" t="s">
        <v>16</v>
      </c>
      <c r="C4">
        <v>1.18</v>
      </c>
      <c r="D4" t="s">
        <v>17</v>
      </c>
      <c r="E4" t="s">
        <v>18</v>
      </c>
      <c r="M4" s="4">
        <v>0.6</v>
      </c>
      <c r="N4">
        <f t="shared" ref="N4:N27" si="0">10^-3</f>
        <v>1E-3</v>
      </c>
      <c r="O4">
        <f t="shared" ref="O4:O41" si="1">SQRT(M4)/N4</f>
        <v>774.59666924148337</v>
      </c>
      <c r="P4" s="8">
        <f>($C$9^2)/($C$5*$C$7*(N4^2))</f>
        <v>1.1322611903507133E-2</v>
      </c>
      <c r="Q4" s="7">
        <f>SQRT(M4*$C$7/(P4*$C$4))</f>
        <v>1.7831091951627047</v>
      </c>
      <c r="S4" s="4">
        <f>$C$4*(Q4^2)*P4/$C$7</f>
        <v>0.6</v>
      </c>
      <c r="T4">
        <f>$C$9/SQRT($C$5*P4*$C$7)</f>
        <v>9.999999999999998E-4</v>
      </c>
    </row>
    <row r="5" spans="1:23" x14ac:dyDescent="0.45">
      <c r="A5" t="s">
        <v>19</v>
      </c>
      <c r="B5" t="s">
        <v>20</v>
      </c>
      <c r="C5">
        <v>997</v>
      </c>
      <c r="D5" t="s">
        <v>17</v>
      </c>
      <c r="E5" t="s">
        <v>21</v>
      </c>
      <c r="M5" s="4">
        <v>0.8</v>
      </c>
      <c r="N5">
        <f t="shared" si="0"/>
        <v>1E-3</v>
      </c>
      <c r="O5">
        <f t="shared" si="1"/>
        <v>894.42719099991587</v>
      </c>
      <c r="P5" s="8">
        <f>($C$9^2)/($C$5*$C$7*(N5^2))</f>
        <v>1.1322611903507133E-2</v>
      </c>
      <c r="Q5" s="7">
        <f>SQRT(M5*$C$7/(P5*$C$4))</f>
        <v>2.0589571476433695</v>
      </c>
      <c r="S5" s="4">
        <f>$C$4*(Q5^2)*P5/$C$7</f>
        <v>0.80000000000000027</v>
      </c>
      <c r="T5">
        <f>$C$9/SQRT($C$5*P5*$C$7)</f>
        <v>9.999999999999998E-4</v>
      </c>
    </row>
    <row r="6" spans="1:23" x14ac:dyDescent="0.45">
      <c r="A6" t="s">
        <v>22</v>
      </c>
      <c r="B6" t="s">
        <v>23</v>
      </c>
      <c r="C6">
        <v>2.0000000000000001E-4</v>
      </c>
      <c r="D6" t="s">
        <v>24</v>
      </c>
      <c r="E6" t="s">
        <v>25</v>
      </c>
      <c r="M6" s="4">
        <v>1</v>
      </c>
      <c r="N6">
        <f t="shared" si="0"/>
        <v>1E-3</v>
      </c>
      <c r="O6">
        <f>SQRT(M6)/N6</f>
        <v>1000</v>
      </c>
      <c r="P6" s="8">
        <f>($C$9^2)/($C$5*$C$7*(N6^2))</f>
        <v>1.1322611903507133E-2</v>
      </c>
      <c r="Q6" s="7">
        <f>SQRT(M6*$C$7/(P6*$C$4))</f>
        <v>2.3019840724448222</v>
      </c>
      <c r="S6" s="4">
        <f>$C$4*(Q6^2)*P6/$C$7</f>
        <v>1</v>
      </c>
      <c r="T6">
        <f>$C$9/SQRT($C$5*P6*$C$7)</f>
        <v>9.999999999999998E-4</v>
      </c>
    </row>
    <row r="7" spans="1:23" x14ac:dyDescent="0.45">
      <c r="A7" t="s">
        <v>26</v>
      </c>
      <c r="B7" t="s">
        <v>27</v>
      </c>
      <c r="C7">
        <v>7.0800000000000002E-2</v>
      </c>
      <c r="D7" t="s">
        <v>28</v>
      </c>
      <c r="E7" t="s">
        <v>21</v>
      </c>
      <c r="M7" s="4">
        <v>1.1000000000000001</v>
      </c>
      <c r="N7">
        <f t="shared" si="0"/>
        <v>1E-3</v>
      </c>
      <c r="O7">
        <f t="shared" ref="O7:O15" si="2">SQRT(M7)/N7</f>
        <v>1048.8088481701516</v>
      </c>
      <c r="P7" s="8">
        <f t="shared" ref="P7:P15" si="3">($C$9^2)/($C$5*$C$7*(N7^2))</f>
        <v>1.1322611903507133E-2</v>
      </c>
      <c r="Q7" s="7">
        <f t="shared" ref="Q7:Q15" si="4">SQRT(M7*$C$7/(P7*$C$4))</f>
        <v>2.4143412635268886</v>
      </c>
      <c r="S7" s="4"/>
    </row>
    <row r="8" spans="1:23" x14ac:dyDescent="0.45">
      <c r="A8" t="s">
        <v>29</v>
      </c>
      <c r="B8" t="s">
        <v>30</v>
      </c>
      <c r="C8">
        <v>50</v>
      </c>
      <c r="D8" t="s">
        <v>31</v>
      </c>
      <c r="E8" t="s">
        <v>25</v>
      </c>
      <c r="M8" s="4">
        <v>1.2</v>
      </c>
      <c r="N8">
        <f t="shared" si="0"/>
        <v>1E-3</v>
      </c>
      <c r="O8">
        <f t="shared" si="2"/>
        <v>1095.4451150103321</v>
      </c>
      <c r="P8" s="8">
        <f t="shared" si="3"/>
        <v>1.1322611903507133E-2</v>
      </c>
      <c r="Q8" s="7">
        <f t="shared" si="4"/>
        <v>2.5216972069912713</v>
      </c>
      <c r="S8" s="4"/>
    </row>
    <row r="9" spans="1:23" x14ac:dyDescent="0.45">
      <c r="A9" t="s">
        <v>32</v>
      </c>
      <c r="B9" t="s">
        <v>33</v>
      </c>
      <c r="C9">
        <f>8.94 * 10^-4</f>
        <v>8.9400000000000005E-4</v>
      </c>
      <c r="D9" t="s">
        <v>34</v>
      </c>
      <c r="E9" t="s">
        <v>21</v>
      </c>
      <c r="M9" s="4">
        <v>1.3</v>
      </c>
      <c r="N9">
        <f t="shared" si="0"/>
        <v>1E-3</v>
      </c>
      <c r="O9">
        <f t="shared" si="2"/>
        <v>1140.175425099138</v>
      </c>
      <c r="P9" s="8">
        <f t="shared" si="3"/>
        <v>1.1322611903507133E-2</v>
      </c>
      <c r="Q9" s="7">
        <f t="shared" si="4"/>
        <v>2.62466566837122</v>
      </c>
      <c r="S9" s="4"/>
    </row>
    <row r="10" spans="1:23" x14ac:dyDescent="0.45">
      <c r="A10" t="s">
        <v>35</v>
      </c>
      <c r="B10" t="s">
        <v>36</v>
      </c>
      <c r="C10">
        <f>18.5*10^-4</f>
        <v>1.8500000000000001E-3</v>
      </c>
      <c r="D10" t="s">
        <v>34</v>
      </c>
      <c r="E10" t="s">
        <v>18</v>
      </c>
      <c r="M10" s="4">
        <v>1.4</v>
      </c>
      <c r="N10">
        <f t="shared" si="0"/>
        <v>1E-3</v>
      </c>
      <c r="O10">
        <f t="shared" si="2"/>
        <v>1183.2159566199232</v>
      </c>
      <c r="P10" s="8">
        <f t="shared" si="3"/>
        <v>1.1322611903507133E-2</v>
      </c>
      <c r="Q10" s="7">
        <f t="shared" si="4"/>
        <v>2.7237442864016268</v>
      </c>
      <c r="S10" s="4"/>
    </row>
    <row r="11" spans="1:23" x14ac:dyDescent="0.45">
      <c r="M11" s="4">
        <v>1.5</v>
      </c>
      <c r="N11">
        <f t="shared" si="0"/>
        <v>1E-3</v>
      </c>
      <c r="O11">
        <f t="shared" si="2"/>
        <v>1224.744871391589</v>
      </c>
      <c r="P11" s="8">
        <f t="shared" si="3"/>
        <v>1.1322611903507133E-2</v>
      </c>
      <c r="Q11" s="7">
        <f t="shared" si="4"/>
        <v>2.8193431867519201</v>
      </c>
      <c r="S11" s="4"/>
    </row>
    <row r="12" spans="1:23" x14ac:dyDescent="0.45">
      <c r="M12" s="4">
        <v>1.6</v>
      </c>
      <c r="N12">
        <f t="shared" si="0"/>
        <v>1E-3</v>
      </c>
      <c r="O12">
        <f t="shared" si="2"/>
        <v>1264.9110640673518</v>
      </c>
      <c r="P12" s="8">
        <f t="shared" si="3"/>
        <v>1.1322611903507133E-2</v>
      </c>
      <c r="Q12" s="7">
        <f t="shared" si="4"/>
        <v>2.9118051225422761</v>
      </c>
      <c r="S12" s="4"/>
    </row>
    <row r="13" spans="1:23" x14ac:dyDescent="0.45">
      <c r="M13" s="4">
        <v>1.7</v>
      </c>
      <c r="N13">
        <f t="shared" si="0"/>
        <v>1E-3</v>
      </c>
      <c r="O13">
        <f t="shared" si="2"/>
        <v>1303.8404810405298</v>
      </c>
      <c r="P13" s="8">
        <f t="shared" si="3"/>
        <v>1.1322611903507133E-2</v>
      </c>
      <c r="Q13" s="7">
        <f t="shared" si="4"/>
        <v>3.0014200203640944</v>
      </c>
      <c r="S13" s="4"/>
    </row>
    <row r="14" spans="1:23" x14ac:dyDescent="0.45">
      <c r="M14" s="4">
        <v>1.8</v>
      </c>
      <c r="N14">
        <f t="shared" si="0"/>
        <v>1E-3</v>
      </c>
      <c r="O14">
        <f t="shared" si="2"/>
        <v>1341.6407864998739</v>
      </c>
      <c r="P14" s="8">
        <f t="shared" si="3"/>
        <v>1.1322611903507133E-2</v>
      </c>
      <c r="Q14" s="7">
        <f t="shared" si="4"/>
        <v>3.0884357214650535</v>
      </c>
      <c r="S14" s="4"/>
    </row>
    <row r="15" spans="1:23" x14ac:dyDescent="0.45">
      <c r="M15" s="4">
        <v>1.9</v>
      </c>
      <c r="N15">
        <f t="shared" si="0"/>
        <v>1E-3</v>
      </c>
      <c r="O15">
        <f t="shared" si="2"/>
        <v>1378.4048752090221</v>
      </c>
      <c r="P15" s="8">
        <f t="shared" si="3"/>
        <v>1.1322611903507133E-2</v>
      </c>
      <c r="Q15" s="7">
        <f t="shared" si="4"/>
        <v>3.1730660681114617</v>
      </c>
      <c r="S15" s="4"/>
    </row>
    <row r="16" spans="1:23" x14ac:dyDescent="0.45">
      <c r="M16" s="4">
        <v>2</v>
      </c>
      <c r="N16">
        <f t="shared" si="0"/>
        <v>1E-3</v>
      </c>
      <c r="O16">
        <f t="shared" si="1"/>
        <v>1414.2135623730951</v>
      </c>
      <c r="P16" s="8">
        <f t="shared" ref="P16:P32" si="5">($C$9^2)/($C$5*$C$7*(N16^2))</f>
        <v>1.1322611903507133E-2</v>
      </c>
      <c r="Q16" s="7">
        <f t="shared" ref="Q16:Q32" si="6">SQRT(M16*$C$7/(P16*$C$4))</f>
        <v>3.2554970956183169</v>
      </c>
      <c r="S16" s="4">
        <f t="shared" ref="S16:S32" si="7">$C$4*(Q16^2)*P16/$C$7</f>
        <v>2</v>
      </c>
      <c r="T16">
        <f t="shared" ref="T16:T32" si="8">$C$9/SQRT($C$5*P16*$C$7)</f>
        <v>9.999999999999998E-4</v>
      </c>
    </row>
    <row r="17" spans="7:20" x14ac:dyDescent="0.45">
      <c r="M17" s="4">
        <v>4</v>
      </c>
      <c r="N17">
        <f t="shared" si="0"/>
        <v>1E-3</v>
      </c>
      <c r="O17">
        <f t="shared" si="1"/>
        <v>2000</v>
      </c>
      <c r="P17" s="8">
        <f t="shared" si="5"/>
        <v>1.1322611903507133E-2</v>
      </c>
      <c r="Q17" s="7">
        <f t="shared" si="6"/>
        <v>4.6039681448896443</v>
      </c>
      <c r="S17" s="4">
        <f t="shared" si="7"/>
        <v>4</v>
      </c>
      <c r="T17">
        <f t="shared" si="8"/>
        <v>9.999999999999998E-4</v>
      </c>
    </row>
    <row r="18" spans="7:20" x14ac:dyDescent="0.45">
      <c r="M18" s="4">
        <v>6</v>
      </c>
      <c r="N18">
        <f t="shared" si="0"/>
        <v>1E-3</v>
      </c>
      <c r="O18">
        <f t="shared" si="1"/>
        <v>2449.4897427831779</v>
      </c>
      <c r="P18" s="8">
        <f t="shared" si="5"/>
        <v>1.1322611903507133E-2</v>
      </c>
      <c r="Q18" s="7">
        <f t="shared" si="6"/>
        <v>5.6386863735038402</v>
      </c>
      <c r="S18" s="4">
        <f t="shared" si="7"/>
        <v>6</v>
      </c>
      <c r="T18">
        <f t="shared" si="8"/>
        <v>9.999999999999998E-4</v>
      </c>
    </row>
    <row r="19" spans="7:20" x14ac:dyDescent="0.45">
      <c r="M19" s="4">
        <v>8</v>
      </c>
      <c r="N19">
        <f t="shared" si="0"/>
        <v>1E-3</v>
      </c>
      <c r="O19">
        <f t="shared" si="1"/>
        <v>2828.4271247461902</v>
      </c>
      <c r="P19" s="8">
        <f t="shared" si="5"/>
        <v>1.1322611903507133E-2</v>
      </c>
      <c r="Q19" s="7">
        <f t="shared" si="6"/>
        <v>6.5109941912366338</v>
      </c>
      <c r="S19" s="4">
        <f t="shared" si="7"/>
        <v>8</v>
      </c>
      <c r="T19">
        <f t="shared" si="8"/>
        <v>9.999999999999998E-4</v>
      </c>
    </row>
    <row r="20" spans="7:20" x14ac:dyDescent="0.45">
      <c r="M20" s="4">
        <v>10</v>
      </c>
      <c r="N20">
        <f t="shared" si="0"/>
        <v>1E-3</v>
      </c>
      <c r="O20">
        <f t="shared" si="1"/>
        <v>3162.2776601683795</v>
      </c>
      <c r="P20" s="8">
        <f t="shared" si="5"/>
        <v>1.1322611903507133E-2</v>
      </c>
      <c r="Q20" s="7">
        <f t="shared" si="6"/>
        <v>7.2795128063556893</v>
      </c>
      <c r="S20" s="4">
        <f t="shared" si="7"/>
        <v>10</v>
      </c>
      <c r="T20">
        <f t="shared" si="8"/>
        <v>9.999999999999998E-4</v>
      </c>
    </row>
    <row r="21" spans="7:20" x14ac:dyDescent="0.45">
      <c r="M21" s="4">
        <v>20</v>
      </c>
      <c r="N21">
        <f t="shared" si="0"/>
        <v>1E-3</v>
      </c>
      <c r="O21">
        <f t="shared" si="1"/>
        <v>4472.1359549995796</v>
      </c>
      <c r="P21" s="8">
        <f t="shared" si="5"/>
        <v>1.1322611903507133E-2</v>
      </c>
      <c r="Q21" s="7">
        <f t="shared" si="6"/>
        <v>10.294785738216845</v>
      </c>
      <c r="S21" s="4">
        <f t="shared" si="7"/>
        <v>19.999999999999996</v>
      </c>
      <c r="T21">
        <f t="shared" si="8"/>
        <v>9.999999999999998E-4</v>
      </c>
    </row>
    <row r="22" spans="7:20" x14ac:dyDescent="0.45">
      <c r="M22" s="4">
        <v>40</v>
      </c>
      <c r="N22">
        <f t="shared" si="0"/>
        <v>1E-3</v>
      </c>
      <c r="O22">
        <f t="shared" si="1"/>
        <v>6324.555320336759</v>
      </c>
      <c r="P22" s="8">
        <f t="shared" si="5"/>
        <v>1.1322611903507133E-2</v>
      </c>
      <c r="Q22" s="7">
        <f t="shared" si="6"/>
        <v>14.559025612711379</v>
      </c>
      <c r="S22" s="4">
        <f t="shared" si="7"/>
        <v>40</v>
      </c>
      <c r="T22">
        <f t="shared" si="8"/>
        <v>9.999999999999998E-4</v>
      </c>
    </row>
    <row r="23" spans="7:20" x14ac:dyDescent="0.45">
      <c r="M23" s="4">
        <v>60</v>
      </c>
      <c r="N23">
        <f t="shared" si="0"/>
        <v>1E-3</v>
      </c>
      <c r="O23">
        <f t="shared" si="1"/>
        <v>7745.9666924148341</v>
      </c>
      <c r="P23" s="8">
        <f t="shared" si="5"/>
        <v>1.1322611903507133E-2</v>
      </c>
      <c r="Q23" s="7">
        <f t="shared" si="6"/>
        <v>17.831091951627048</v>
      </c>
      <c r="S23" s="4">
        <f t="shared" si="7"/>
        <v>60</v>
      </c>
      <c r="T23">
        <f t="shared" si="8"/>
        <v>9.999999999999998E-4</v>
      </c>
    </row>
    <row r="24" spans="7:20" x14ac:dyDescent="0.45">
      <c r="M24" s="4">
        <v>80</v>
      </c>
      <c r="N24">
        <f t="shared" si="0"/>
        <v>1E-3</v>
      </c>
      <c r="O24">
        <f t="shared" si="1"/>
        <v>8944.2719099991591</v>
      </c>
      <c r="P24" s="8">
        <f t="shared" si="5"/>
        <v>1.1322611903507133E-2</v>
      </c>
      <c r="Q24" s="7">
        <f t="shared" si="6"/>
        <v>20.58957147643369</v>
      </c>
      <c r="S24" s="4">
        <f t="shared" si="7"/>
        <v>79.999999999999986</v>
      </c>
      <c r="T24">
        <f t="shared" si="8"/>
        <v>9.999999999999998E-4</v>
      </c>
    </row>
    <row r="25" spans="7:20" x14ac:dyDescent="0.45">
      <c r="G25" s="25" t="s">
        <v>37</v>
      </c>
      <c r="H25" s="25"/>
      <c r="I25" s="25"/>
      <c r="J25" s="25"/>
      <c r="K25" s="25"/>
      <c r="L25" s="25"/>
      <c r="M25" s="4">
        <v>100</v>
      </c>
      <c r="N25">
        <f t="shared" si="0"/>
        <v>1E-3</v>
      </c>
      <c r="O25">
        <f t="shared" si="1"/>
        <v>10000</v>
      </c>
      <c r="P25" s="8">
        <f t="shared" si="5"/>
        <v>1.1322611903507133E-2</v>
      </c>
      <c r="Q25" s="7">
        <f t="shared" si="6"/>
        <v>23.019840724448223</v>
      </c>
      <c r="S25" s="4">
        <f t="shared" si="7"/>
        <v>99.999999999999986</v>
      </c>
      <c r="T25">
        <f t="shared" si="8"/>
        <v>9.999999999999998E-4</v>
      </c>
    </row>
    <row r="26" spans="7:20" x14ac:dyDescent="0.45">
      <c r="G26" s="25" t="s">
        <v>38</v>
      </c>
      <c r="H26" s="25"/>
      <c r="I26" s="25"/>
      <c r="J26" s="25"/>
      <c r="K26" s="25"/>
      <c r="L26" s="25"/>
      <c r="M26" s="4">
        <v>200</v>
      </c>
      <c r="N26">
        <f t="shared" si="0"/>
        <v>1E-3</v>
      </c>
      <c r="O26">
        <f t="shared" si="1"/>
        <v>14142.13562373095</v>
      </c>
      <c r="P26" s="8">
        <f t="shared" si="5"/>
        <v>1.1322611903507133E-2</v>
      </c>
      <c r="Q26" s="7">
        <f t="shared" si="6"/>
        <v>32.554970956183169</v>
      </c>
      <c r="S26" s="4">
        <f t="shared" si="7"/>
        <v>199.99999999999997</v>
      </c>
      <c r="T26">
        <f t="shared" si="8"/>
        <v>9.999999999999998E-4</v>
      </c>
    </row>
    <row r="27" spans="7:20" x14ac:dyDescent="0.45">
      <c r="G27" s="25" t="s">
        <v>39</v>
      </c>
      <c r="H27" s="25"/>
      <c r="I27" s="25"/>
      <c r="J27" s="25"/>
      <c r="K27" s="25"/>
      <c r="L27" s="25"/>
      <c r="M27" s="4">
        <v>400</v>
      </c>
      <c r="N27">
        <f t="shared" si="0"/>
        <v>1E-3</v>
      </c>
      <c r="O27">
        <f t="shared" si="1"/>
        <v>20000</v>
      </c>
      <c r="P27" s="8">
        <f t="shared" si="5"/>
        <v>1.1322611903507133E-2</v>
      </c>
      <c r="Q27" s="7">
        <f t="shared" si="6"/>
        <v>46.039681448896445</v>
      </c>
      <c r="S27" s="4">
        <f t="shared" si="7"/>
        <v>399.99999999999994</v>
      </c>
      <c r="T27">
        <f t="shared" si="8"/>
        <v>9.999999999999998E-4</v>
      </c>
    </row>
    <row r="28" spans="7:20" x14ac:dyDescent="0.45">
      <c r="M28" s="4">
        <v>0.2</v>
      </c>
      <c r="N28">
        <v>0.01</v>
      </c>
      <c r="O28">
        <f t="shared" si="1"/>
        <v>44.721359549995789</v>
      </c>
      <c r="P28" s="8">
        <f t="shared" si="5"/>
        <v>1.1322611903507133E-4</v>
      </c>
      <c r="Q28" s="7">
        <f t="shared" si="6"/>
        <v>10.294785738216845</v>
      </c>
      <c r="S28" s="4">
        <f t="shared" si="7"/>
        <v>0.19999999999999996</v>
      </c>
      <c r="T28">
        <f t="shared" si="8"/>
        <v>0.01</v>
      </c>
    </row>
    <row r="29" spans="7:20" x14ac:dyDescent="0.45">
      <c r="M29" s="4">
        <v>0.4</v>
      </c>
      <c r="N29">
        <f>10^-2</f>
        <v>0.01</v>
      </c>
      <c r="O29">
        <f t="shared" si="1"/>
        <v>63.245553203367585</v>
      </c>
      <c r="P29" s="8">
        <f t="shared" si="5"/>
        <v>1.1322611903507133E-4</v>
      </c>
      <c r="Q29" s="7">
        <f t="shared" si="6"/>
        <v>14.559025612711379</v>
      </c>
      <c r="S29" s="4">
        <f t="shared" si="7"/>
        <v>0.39999999999999991</v>
      </c>
      <c r="T29">
        <f t="shared" si="8"/>
        <v>0.01</v>
      </c>
    </row>
    <row r="30" spans="7:20" x14ac:dyDescent="0.45">
      <c r="M30" s="4">
        <v>0.6</v>
      </c>
      <c r="N30">
        <f t="shared" ref="N30:N53" si="9">10^-2</f>
        <v>0.01</v>
      </c>
      <c r="O30">
        <f t="shared" si="1"/>
        <v>77.459666924148337</v>
      </c>
      <c r="P30" s="8">
        <f t="shared" si="5"/>
        <v>1.1322611903507133E-4</v>
      </c>
      <c r="Q30" s="7">
        <f t="shared" si="6"/>
        <v>17.831091951627048</v>
      </c>
      <c r="S30" s="4">
        <f t="shared" si="7"/>
        <v>0.60000000000000009</v>
      </c>
      <c r="T30">
        <f t="shared" si="8"/>
        <v>0.01</v>
      </c>
    </row>
    <row r="31" spans="7:20" x14ac:dyDescent="0.45">
      <c r="M31" s="4">
        <v>0.8</v>
      </c>
      <c r="N31">
        <f t="shared" si="9"/>
        <v>0.01</v>
      </c>
      <c r="O31">
        <f t="shared" si="1"/>
        <v>89.442719099991578</v>
      </c>
      <c r="P31" s="8">
        <f t="shared" si="5"/>
        <v>1.1322611903507133E-4</v>
      </c>
      <c r="Q31" s="7">
        <f t="shared" si="6"/>
        <v>20.58957147643369</v>
      </c>
      <c r="S31" s="4">
        <f t="shared" si="7"/>
        <v>0.79999999999999982</v>
      </c>
      <c r="T31">
        <f t="shared" si="8"/>
        <v>0.01</v>
      </c>
    </row>
    <row r="32" spans="7:20" x14ac:dyDescent="0.45">
      <c r="M32" s="4">
        <v>1</v>
      </c>
      <c r="N32">
        <f t="shared" si="9"/>
        <v>0.01</v>
      </c>
      <c r="O32">
        <f t="shared" si="1"/>
        <v>100</v>
      </c>
      <c r="P32" s="8">
        <f t="shared" si="5"/>
        <v>1.1322611903507133E-4</v>
      </c>
      <c r="Q32" s="7">
        <f t="shared" si="6"/>
        <v>23.019840724448223</v>
      </c>
      <c r="S32" s="4">
        <f t="shared" si="7"/>
        <v>0.99999999999999978</v>
      </c>
      <c r="T32">
        <f t="shared" si="8"/>
        <v>0.01</v>
      </c>
    </row>
    <row r="33" spans="13:20" x14ac:dyDescent="0.45">
      <c r="M33" s="4">
        <v>1.1000000000000001</v>
      </c>
      <c r="N33">
        <f t="shared" si="9"/>
        <v>0.01</v>
      </c>
      <c r="O33">
        <f t="shared" si="1"/>
        <v>104.88088481701516</v>
      </c>
      <c r="P33" s="8">
        <f t="shared" ref="P33:P42" si="10">($C$9^2)/($C$5*$C$7*(N33^2))</f>
        <v>1.1322611903507133E-4</v>
      </c>
      <c r="Q33" s="7">
        <f t="shared" ref="Q33:Q42" si="11">SQRT(M33*$C$7/(P33*$C$4))</f>
        <v>24.143412635268888</v>
      </c>
      <c r="S33" s="4"/>
    </row>
    <row r="34" spans="13:20" x14ac:dyDescent="0.45">
      <c r="M34" s="4">
        <v>1.2</v>
      </c>
      <c r="N34">
        <f t="shared" si="9"/>
        <v>0.01</v>
      </c>
      <c r="O34">
        <f t="shared" si="1"/>
        <v>109.54451150103321</v>
      </c>
      <c r="P34" s="8">
        <f t="shared" si="10"/>
        <v>1.1322611903507133E-4</v>
      </c>
      <c r="Q34" s="7">
        <f t="shared" si="11"/>
        <v>25.21697206991271</v>
      </c>
      <c r="S34" s="4"/>
    </row>
    <row r="35" spans="13:20" x14ac:dyDescent="0.45">
      <c r="M35" s="4">
        <v>1.3</v>
      </c>
      <c r="N35">
        <f t="shared" si="9"/>
        <v>0.01</v>
      </c>
      <c r="O35">
        <f t="shared" si="1"/>
        <v>114.01754250991381</v>
      </c>
      <c r="P35" s="8">
        <f t="shared" si="10"/>
        <v>1.1322611903507133E-4</v>
      </c>
      <c r="Q35" s="7">
        <f t="shared" si="11"/>
        <v>26.246656683712203</v>
      </c>
      <c r="S35" s="4"/>
    </row>
    <row r="36" spans="13:20" x14ac:dyDescent="0.45">
      <c r="M36" s="4">
        <v>1.4</v>
      </c>
      <c r="N36">
        <f t="shared" si="9"/>
        <v>0.01</v>
      </c>
      <c r="O36">
        <f t="shared" si="1"/>
        <v>118.32159566199232</v>
      </c>
      <c r="P36" s="8">
        <f t="shared" si="10"/>
        <v>1.1322611903507133E-4</v>
      </c>
      <c r="Q36" s="7">
        <f t="shared" si="11"/>
        <v>27.23744286401627</v>
      </c>
      <c r="S36" s="4"/>
    </row>
    <row r="37" spans="13:20" x14ac:dyDescent="0.45">
      <c r="M37" s="4">
        <v>1.5</v>
      </c>
      <c r="N37">
        <f t="shared" si="9"/>
        <v>0.01</v>
      </c>
      <c r="O37">
        <f t="shared" si="1"/>
        <v>122.4744871391589</v>
      </c>
      <c r="P37" s="8">
        <f t="shared" si="10"/>
        <v>1.1322611903507133E-4</v>
      </c>
      <c r="Q37" s="7">
        <f t="shared" si="11"/>
        <v>28.193431867519202</v>
      </c>
      <c r="S37" s="4"/>
    </row>
    <row r="38" spans="13:20" x14ac:dyDescent="0.45">
      <c r="M38" s="4">
        <v>1.6</v>
      </c>
      <c r="N38">
        <f t="shared" si="9"/>
        <v>0.01</v>
      </c>
      <c r="O38">
        <f t="shared" si="1"/>
        <v>126.49110640673517</v>
      </c>
      <c r="P38" s="8">
        <f t="shared" si="10"/>
        <v>1.1322611903507133E-4</v>
      </c>
      <c r="Q38" s="7">
        <f t="shared" si="11"/>
        <v>29.118051225422757</v>
      </c>
      <c r="S38" s="4"/>
    </row>
    <row r="39" spans="13:20" x14ac:dyDescent="0.45">
      <c r="M39" s="4">
        <v>1.7</v>
      </c>
      <c r="N39">
        <f t="shared" si="9"/>
        <v>0.01</v>
      </c>
      <c r="O39">
        <f t="shared" si="1"/>
        <v>130.38404810405297</v>
      </c>
      <c r="P39" s="8">
        <f t="shared" si="10"/>
        <v>1.1322611903507133E-4</v>
      </c>
      <c r="Q39" s="7">
        <f t="shared" si="11"/>
        <v>30.014200203640947</v>
      </c>
      <c r="S39" s="4"/>
    </row>
    <row r="40" spans="13:20" x14ac:dyDescent="0.45">
      <c r="M40" s="4">
        <v>1.8</v>
      </c>
      <c r="N40">
        <f t="shared" si="9"/>
        <v>0.01</v>
      </c>
      <c r="O40">
        <f t="shared" si="1"/>
        <v>134.16407864998737</v>
      </c>
      <c r="P40" s="8">
        <f t="shared" si="10"/>
        <v>1.1322611903507133E-4</v>
      </c>
      <c r="Q40" s="7">
        <f t="shared" si="11"/>
        <v>30.884357214650539</v>
      </c>
      <c r="S40" s="4"/>
    </row>
    <row r="41" spans="13:20" x14ac:dyDescent="0.45">
      <c r="M41" s="4">
        <v>1.9</v>
      </c>
      <c r="N41">
        <f t="shared" si="9"/>
        <v>0.01</v>
      </c>
      <c r="O41">
        <f t="shared" si="1"/>
        <v>137.8404875209022</v>
      </c>
      <c r="P41" s="8">
        <f t="shared" si="10"/>
        <v>1.1322611903507133E-4</v>
      </c>
      <c r="Q41" s="7">
        <f t="shared" si="11"/>
        <v>31.730660681114617</v>
      </c>
      <c r="S41" s="4"/>
    </row>
    <row r="42" spans="13:20" x14ac:dyDescent="0.45">
      <c r="M42" s="4">
        <v>2</v>
      </c>
      <c r="N42">
        <f t="shared" si="9"/>
        <v>0.01</v>
      </c>
      <c r="O42">
        <f t="shared" ref="O42:O58" si="12">SQRT(M42)/N42</f>
        <v>141.42135623730951</v>
      </c>
      <c r="P42" s="8">
        <f t="shared" si="10"/>
        <v>1.1322611903507133E-4</v>
      </c>
      <c r="Q42" s="7">
        <f t="shared" si="11"/>
        <v>32.554970956183169</v>
      </c>
      <c r="S42" s="4">
        <f t="shared" ref="S42:S58" si="13">$C$4*(Q42^2)*P42/$C$7</f>
        <v>1.9999999999999996</v>
      </c>
      <c r="T42">
        <f t="shared" ref="T42:T58" si="14">$C$9/SQRT($C$5*P42*$C$7)</f>
        <v>0.01</v>
      </c>
    </row>
    <row r="43" spans="13:20" x14ac:dyDescent="0.45">
      <c r="M43" s="4">
        <v>4</v>
      </c>
      <c r="N43">
        <f t="shared" si="9"/>
        <v>0.01</v>
      </c>
      <c r="O43">
        <f t="shared" si="12"/>
        <v>200</v>
      </c>
      <c r="P43" s="8">
        <f t="shared" ref="P43:P58" si="15">($C$9^2)/($C$5*$C$7*(N43^2))</f>
        <v>1.1322611903507133E-4</v>
      </c>
      <c r="Q43" s="7">
        <f t="shared" ref="Q43:Q58" si="16">SQRT(M43*$C$7/(P43*$C$4))</f>
        <v>46.039681448896445</v>
      </c>
      <c r="S43" s="4">
        <f t="shared" si="13"/>
        <v>3.9999999999999991</v>
      </c>
      <c r="T43">
        <f t="shared" si="14"/>
        <v>0.01</v>
      </c>
    </row>
    <row r="44" spans="13:20" x14ac:dyDescent="0.45">
      <c r="M44" s="4">
        <v>6</v>
      </c>
      <c r="N44">
        <f t="shared" si="9"/>
        <v>0.01</v>
      </c>
      <c r="O44">
        <f t="shared" si="12"/>
        <v>244.94897427831779</v>
      </c>
      <c r="P44" s="8">
        <f t="shared" si="15"/>
        <v>1.1322611903507133E-4</v>
      </c>
      <c r="Q44" s="7">
        <f t="shared" si="16"/>
        <v>56.386863735038403</v>
      </c>
      <c r="S44" s="4">
        <f t="shared" si="13"/>
        <v>5.9999999999999991</v>
      </c>
      <c r="T44">
        <f t="shared" si="14"/>
        <v>0.01</v>
      </c>
    </row>
    <row r="45" spans="13:20" x14ac:dyDescent="0.45">
      <c r="M45" s="4">
        <v>8</v>
      </c>
      <c r="N45">
        <f t="shared" si="9"/>
        <v>0.01</v>
      </c>
      <c r="O45">
        <f t="shared" si="12"/>
        <v>282.84271247461902</v>
      </c>
      <c r="P45" s="8">
        <f t="shared" si="15"/>
        <v>1.1322611903507133E-4</v>
      </c>
      <c r="Q45" s="7">
        <f t="shared" si="16"/>
        <v>65.109941912366338</v>
      </c>
      <c r="S45" s="4">
        <f t="shared" si="13"/>
        <v>7.9999999999999982</v>
      </c>
      <c r="T45">
        <f t="shared" si="14"/>
        <v>0.01</v>
      </c>
    </row>
    <row r="46" spans="13:20" x14ac:dyDescent="0.45">
      <c r="M46" s="4">
        <v>10</v>
      </c>
      <c r="N46">
        <f t="shared" si="9"/>
        <v>0.01</v>
      </c>
      <c r="O46">
        <f t="shared" si="12"/>
        <v>316.22776601683796</v>
      </c>
      <c r="P46" s="8">
        <f t="shared" si="15"/>
        <v>1.1322611903507133E-4</v>
      </c>
      <c r="Q46" s="7">
        <f t="shared" si="16"/>
        <v>72.795128063556888</v>
      </c>
      <c r="S46" s="4">
        <f t="shared" si="13"/>
        <v>9.9999999999999982</v>
      </c>
      <c r="T46">
        <f t="shared" si="14"/>
        <v>0.01</v>
      </c>
    </row>
    <row r="47" spans="13:20" x14ac:dyDescent="0.45">
      <c r="M47" s="4">
        <v>20</v>
      </c>
      <c r="N47">
        <f t="shared" si="9"/>
        <v>0.01</v>
      </c>
      <c r="O47">
        <f t="shared" si="12"/>
        <v>447.21359549995793</v>
      </c>
      <c r="P47" s="8">
        <f t="shared" si="15"/>
        <v>1.1322611903507133E-4</v>
      </c>
      <c r="Q47" s="7">
        <f t="shared" si="16"/>
        <v>102.94785738216845</v>
      </c>
      <c r="S47" s="4">
        <f t="shared" si="13"/>
        <v>19.999999999999996</v>
      </c>
      <c r="T47">
        <f t="shared" si="14"/>
        <v>0.01</v>
      </c>
    </row>
    <row r="48" spans="13:20" x14ac:dyDescent="0.45">
      <c r="M48" s="4">
        <v>40</v>
      </c>
      <c r="N48">
        <f t="shared" si="9"/>
        <v>0.01</v>
      </c>
      <c r="O48">
        <f t="shared" si="12"/>
        <v>632.45553203367592</v>
      </c>
      <c r="P48" s="8">
        <f t="shared" si="15"/>
        <v>1.1322611903507133E-4</v>
      </c>
      <c r="Q48" s="7">
        <f t="shared" si="16"/>
        <v>145.59025612711378</v>
      </c>
      <c r="S48" s="4">
        <f t="shared" si="13"/>
        <v>39.999999999999993</v>
      </c>
      <c r="T48">
        <f t="shared" si="14"/>
        <v>0.01</v>
      </c>
    </row>
    <row r="49" spans="13:20" x14ac:dyDescent="0.45">
      <c r="M49" s="4">
        <v>60</v>
      </c>
      <c r="N49">
        <f t="shared" si="9"/>
        <v>0.01</v>
      </c>
      <c r="O49">
        <f t="shared" si="12"/>
        <v>774.59666924148337</v>
      </c>
      <c r="P49" s="8">
        <f t="shared" si="15"/>
        <v>1.1322611903507133E-4</v>
      </c>
      <c r="Q49" s="7">
        <f t="shared" si="16"/>
        <v>178.3109195162705</v>
      </c>
      <c r="S49" s="4">
        <f t="shared" si="13"/>
        <v>60</v>
      </c>
      <c r="T49">
        <f t="shared" si="14"/>
        <v>0.01</v>
      </c>
    </row>
    <row r="50" spans="13:20" x14ac:dyDescent="0.45">
      <c r="M50" s="4">
        <v>80</v>
      </c>
      <c r="N50">
        <f t="shared" si="9"/>
        <v>0.01</v>
      </c>
      <c r="O50">
        <f t="shared" si="12"/>
        <v>894.42719099991587</v>
      </c>
      <c r="P50" s="8">
        <f t="shared" si="15"/>
        <v>1.1322611903507133E-4</v>
      </c>
      <c r="Q50" s="7">
        <f t="shared" si="16"/>
        <v>205.8957147643369</v>
      </c>
      <c r="S50" s="4">
        <f t="shared" si="13"/>
        <v>79.999999999999986</v>
      </c>
      <c r="T50">
        <f t="shared" si="14"/>
        <v>0.01</v>
      </c>
    </row>
    <row r="51" spans="13:20" x14ac:dyDescent="0.45">
      <c r="M51" s="4">
        <v>100</v>
      </c>
      <c r="N51">
        <f t="shared" si="9"/>
        <v>0.01</v>
      </c>
      <c r="O51">
        <f t="shared" si="12"/>
        <v>1000</v>
      </c>
      <c r="P51" s="8">
        <f t="shared" si="15"/>
        <v>1.1322611903507133E-4</v>
      </c>
      <c r="Q51" s="7">
        <f t="shared" si="16"/>
        <v>230.19840724448221</v>
      </c>
      <c r="S51" s="4">
        <f t="shared" si="13"/>
        <v>99.999999999999972</v>
      </c>
      <c r="T51">
        <f t="shared" si="14"/>
        <v>0.01</v>
      </c>
    </row>
    <row r="52" spans="13:20" x14ac:dyDescent="0.45">
      <c r="M52" s="4">
        <v>200</v>
      </c>
      <c r="N52">
        <f t="shared" si="9"/>
        <v>0.01</v>
      </c>
      <c r="O52">
        <f t="shared" si="12"/>
        <v>1414.2135623730951</v>
      </c>
      <c r="P52" s="8">
        <f t="shared" si="15"/>
        <v>1.1322611903507133E-4</v>
      </c>
      <c r="Q52" s="7">
        <f t="shared" si="16"/>
        <v>325.54970956183172</v>
      </c>
      <c r="S52" s="4">
        <f t="shared" si="13"/>
        <v>200.00000000000003</v>
      </c>
      <c r="T52">
        <f t="shared" si="14"/>
        <v>0.01</v>
      </c>
    </row>
    <row r="53" spans="13:20" x14ac:dyDescent="0.45">
      <c r="M53" s="4">
        <v>400</v>
      </c>
      <c r="N53">
        <f t="shared" si="9"/>
        <v>0.01</v>
      </c>
      <c r="O53">
        <f t="shared" si="12"/>
        <v>2000</v>
      </c>
      <c r="P53" s="8">
        <f t="shared" si="15"/>
        <v>1.1322611903507133E-4</v>
      </c>
      <c r="Q53" s="7">
        <f t="shared" si="16"/>
        <v>460.39681448896442</v>
      </c>
      <c r="S53" s="4">
        <f t="shared" si="13"/>
        <v>399.99999999999989</v>
      </c>
      <c r="T53">
        <f t="shared" si="14"/>
        <v>0.01</v>
      </c>
    </row>
    <row r="54" spans="13:20" x14ac:dyDescent="0.45">
      <c r="M54" s="4">
        <v>0.2</v>
      </c>
      <c r="N54">
        <f>10^-1</f>
        <v>0.1</v>
      </c>
      <c r="O54">
        <f t="shared" si="12"/>
        <v>4.4721359549995787</v>
      </c>
      <c r="P54" s="8">
        <f t="shared" si="15"/>
        <v>1.1322611903507131E-6</v>
      </c>
      <c r="Q54" s="7">
        <f t="shared" si="16"/>
        <v>102.94785738216848</v>
      </c>
      <c r="S54" s="4">
        <f t="shared" si="13"/>
        <v>0.20000000000000007</v>
      </c>
      <c r="T54">
        <f t="shared" si="14"/>
        <v>0.1</v>
      </c>
    </row>
    <row r="55" spans="13:20" x14ac:dyDescent="0.45">
      <c r="M55" s="4">
        <v>0.4</v>
      </c>
      <c r="N55">
        <v>0.1</v>
      </c>
      <c r="O55">
        <f t="shared" si="12"/>
        <v>6.3245553203367582</v>
      </c>
      <c r="P55" s="8">
        <f t="shared" si="15"/>
        <v>1.1322611903507131E-6</v>
      </c>
      <c r="Q55" s="7">
        <f t="shared" si="16"/>
        <v>145.5902561271138</v>
      </c>
      <c r="S55" s="4">
        <f t="shared" si="13"/>
        <v>0.4</v>
      </c>
      <c r="T55">
        <f t="shared" si="14"/>
        <v>0.1</v>
      </c>
    </row>
    <row r="56" spans="13:20" x14ac:dyDescent="0.45">
      <c r="M56" s="4">
        <v>0.6</v>
      </c>
      <c r="N56">
        <f t="shared" ref="N56:N79" si="17">10^-1</f>
        <v>0.1</v>
      </c>
      <c r="O56">
        <f t="shared" si="12"/>
        <v>7.745966692414834</v>
      </c>
      <c r="P56" s="8">
        <f t="shared" si="15"/>
        <v>1.1322611903507131E-6</v>
      </c>
      <c r="Q56" s="7">
        <f t="shared" si="16"/>
        <v>178.3109195162705</v>
      </c>
      <c r="S56" s="4">
        <f t="shared" si="13"/>
        <v>0.6</v>
      </c>
      <c r="T56">
        <f t="shared" si="14"/>
        <v>0.1</v>
      </c>
    </row>
    <row r="57" spans="13:20" x14ac:dyDescent="0.45">
      <c r="M57" s="4">
        <v>0.8</v>
      </c>
      <c r="N57">
        <f t="shared" si="17"/>
        <v>0.1</v>
      </c>
      <c r="O57">
        <f t="shared" si="12"/>
        <v>8.9442719099991574</v>
      </c>
      <c r="P57" s="8">
        <f t="shared" si="15"/>
        <v>1.1322611903507131E-6</v>
      </c>
      <c r="Q57" s="7">
        <f t="shared" si="16"/>
        <v>205.89571476433696</v>
      </c>
      <c r="S57" s="4">
        <f t="shared" si="13"/>
        <v>0.80000000000000027</v>
      </c>
      <c r="T57">
        <f t="shared" si="14"/>
        <v>0.1</v>
      </c>
    </row>
    <row r="58" spans="13:20" x14ac:dyDescent="0.45">
      <c r="M58" s="4">
        <v>1</v>
      </c>
      <c r="N58">
        <f t="shared" si="17"/>
        <v>0.1</v>
      </c>
      <c r="O58">
        <f t="shared" si="12"/>
        <v>10</v>
      </c>
      <c r="P58" s="8">
        <f t="shared" si="15"/>
        <v>1.1322611903507131E-6</v>
      </c>
      <c r="Q58" s="7">
        <f t="shared" si="16"/>
        <v>230.19840724448224</v>
      </c>
      <c r="S58" s="4">
        <f t="shared" si="13"/>
        <v>1</v>
      </c>
      <c r="T58">
        <f t="shared" si="14"/>
        <v>0.1</v>
      </c>
    </row>
    <row r="59" spans="13:20" x14ac:dyDescent="0.45">
      <c r="M59" s="4">
        <v>1.1000000000000001</v>
      </c>
      <c r="N59">
        <f t="shared" si="17"/>
        <v>0.1</v>
      </c>
      <c r="O59">
        <f t="shared" ref="O59:O67" si="18">SQRT(M59)/N59</f>
        <v>10.488088481701515</v>
      </c>
      <c r="P59" s="8">
        <f t="shared" ref="P59:P67" si="19">($C$9^2)/($C$5*$C$7*(N59^2))</f>
        <v>1.1322611903507131E-6</v>
      </c>
      <c r="Q59" s="7">
        <f t="shared" ref="Q59:Q67" si="20">SQRT(M59*$C$7/(P59*$C$4))</f>
        <v>241.43412635268888</v>
      </c>
      <c r="S59" s="4"/>
    </row>
    <row r="60" spans="13:20" x14ac:dyDescent="0.45">
      <c r="M60" s="4">
        <v>1.2</v>
      </c>
      <c r="N60">
        <f t="shared" si="17"/>
        <v>0.1</v>
      </c>
      <c r="O60">
        <f t="shared" si="18"/>
        <v>10.954451150103321</v>
      </c>
      <c r="P60" s="8">
        <f t="shared" si="19"/>
        <v>1.1322611903507131E-6</v>
      </c>
      <c r="Q60" s="7">
        <f t="shared" si="20"/>
        <v>252.16972069912714</v>
      </c>
      <c r="S60" s="4"/>
    </row>
    <row r="61" spans="13:20" x14ac:dyDescent="0.45">
      <c r="M61" s="4">
        <v>1.3</v>
      </c>
      <c r="N61">
        <f t="shared" si="17"/>
        <v>0.1</v>
      </c>
      <c r="O61">
        <f t="shared" si="18"/>
        <v>11.401754250991379</v>
      </c>
      <c r="P61" s="8">
        <f t="shared" si="19"/>
        <v>1.1322611903507131E-6</v>
      </c>
      <c r="Q61" s="7">
        <f t="shared" si="20"/>
        <v>262.466566837122</v>
      </c>
      <c r="S61" s="4"/>
    </row>
    <row r="62" spans="13:20" x14ac:dyDescent="0.45">
      <c r="M62" s="4">
        <v>1.4</v>
      </c>
      <c r="N62">
        <f t="shared" si="17"/>
        <v>0.1</v>
      </c>
      <c r="O62">
        <f t="shared" si="18"/>
        <v>11.83215956619923</v>
      </c>
      <c r="P62" s="8">
        <f t="shared" si="19"/>
        <v>1.1322611903507131E-6</v>
      </c>
      <c r="Q62" s="7">
        <f t="shared" si="20"/>
        <v>272.37442864016271</v>
      </c>
      <c r="S62" s="4"/>
    </row>
    <row r="63" spans="13:20" x14ac:dyDescent="0.45">
      <c r="M63" s="4">
        <v>1.5</v>
      </c>
      <c r="N63">
        <f t="shared" si="17"/>
        <v>0.1</v>
      </c>
      <c r="O63">
        <f t="shared" si="18"/>
        <v>12.247448713915889</v>
      </c>
      <c r="P63" s="8">
        <f t="shared" si="19"/>
        <v>1.1322611903507131E-6</v>
      </c>
      <c r="Q63" s="7">
        <f t="shared" si="20"/>
        <v>281.93431867519206</v>
      </c>
      <c r="S63" s="4"/>
    </row>
    <row r="64" spans="13:20" x14ac:dyDescent="0.45">
      <c r="M64" s="4">
        <v>1.6</v>
      </c>
      <c r="N64">
        <f t="shared" si="17"/>
        <v>0.1</v>
      </c>
      <c r="O64">
        <f t="shared" si="18"/>
        <v>12.649110640673516</v>
      </c>
      <c r="P64" s="8">
        <f t="shared" si="19"/>
        <v>1.1322611903507131E-6</v>
      </c>
      <c r="Q64" s="7">
        <f t="shared" si="20"/>
        <v>291.18051225422761</v>
      </c>
      <c r="S64" s="4"/>
    </row>
    <row r="65" spans="13:20" x14ac:dyDescent="0.45">
      <c r="M65" s="4">
        <v>1.7</v>
      </c>
      <c r="N65">
        <f t="shared" si="17"/>
        <v>0.1</v>
      </c>
      <c r="O65">
        <f t="shared" si="18"/>
        <v>13.038404810405297</v>
      </c>
      <c r="P65" s="8">
        <f t="shared" si="19"/>
        <v>1.1322611903507131E-6</v>
      </c>
      <c r="Q65" s="7">
        <f t="shared" si="20"/>
        <v>300.14200203640951</v>
      </c>
      <c r="S65" s="4"/>
    </row>
    <row r="66" spans="13:20" x14ac:dyDescent="0.45">
      <c r="M66" s="4">
        <v>1.8</v>
      </c>
      <c r="N66">
        <f t="shared" si="17"/>
        <v>0.1</v>
      </c>
      <c r="O66">
        <f t="shared" si="18"/>
        <v>13.416407864998737</v>
      </c>
      <c r="P66" s="8">
        <f t="shared" si="19"/>
        <v>1.1322611903507131E-6</v>
      </c>
      <c r="Q66" s="7">
        <f t="shared" si="20"/>
        <v>308.84357214650538</v>
      </c>
      <c r="S66" s="4"/>
    </row>
    <row r="67" spans="13:20" x14ac:dyDescent="0.45">
      <c r="M67" s="4">
        <v>1.9</v>
      </c>
      <c r="N67">
        <f t="shared" si="17"/>
        <v>0.1</v>
      </c>
      <c r="O67">
        <f t="shared" si="18"/>
        <v>13.78404875209022</v>
      </c>
      <c r="P67" s="8">
        <f t="shared" si="19"/>
        <v>1.1322611903507131E-6</v>
      </c>
      <c r="Q67" s="7">
        <f t="shared" si="20"/>
        <v>317.3066068111462</v>
      </c>
      <c r="S67" s="4"/>
    </row>
    <row r="68" spans="13:20" x14ac:dyDescent="0.45">
      <c r="M68" s="4">
        <v>2</v>
      </c>
      <c r="N68">
        <f t="shared" si="17"/>
        <v>0.1</v>
      </c>
      <c r="O68">
        <f t="shared" ref="O68:O79" si="21">SQRT(M68)/N68</f>
        <v>14.142135623730951</v>
      </c>
      <c r="P68" s="8">
        <f t="shared" ref="P68:P79" si="22">($C$9^2)/($C$5*$C$7*(N68^2))</f>
        <v>1.1322611903507131E-6</v>
      </c>
      <c r="Q68" s="7">
        <f t="shared" ref="Q68:Q79" si="23">SQRT(M68*$C$7/(P68*$C$4))</f>
        <v>325.54970956183172</v>
      </c>
      <c r="S68" s="4">
        <f t="shared" ref="S68:S79" si="24">$C$4*(Q68^2)*P68/$C$7</f>
        <v>2</v>
      </c>
      <c r="T68">
        <f t="shared" ref="T68:T79" si="25">$C$9/SQRT($C$5*P68*$C$7)</f>
        <v>0.1</v>
      </c>
    </row>
    <row r="69" spans="13:20" x14ac:dyDescent="0.45">
      <c r="M69" s="4">
        <v>4</v>
      </c>
      <c r="N69">
        <f t="shared" si="17"/>
        <v>0.1</v>
      </c>
      <c r="O69">
        <f t="shared" si="21"/>
        <v>20</v>
      </c>
      <c r="P69" s="8">
        <f t="shared" si="22"/>
        <v>1.1322611903507131E-6</v>
      </c>
      <c r="Q69" s="7">
        <f t="shared" si="23"/>
        <v>460.39681448896448</v>
      </c>
      <c r="S69" s="4">
        <f t="shared" si="24"/>
        <v>4</v>
      </c>
      <c r="T69">
        <f t="shared" si="25"/>
        <v>0.1</v>
      </c>
    </row>
    <row r="70" spans="13:20" x14ac:dyDescent="0.45">
      <c r="M70" s="4">
        <v>6</v>
      </c>
      <c r="N70">
        <f t="shared" si="17"/>
        <v>0.1</v>
      </c>
      <c r="O70">
        <f t="shared" si="21"/>
        <v>24.494897427831777</v>
      </c>
      <c r="P70" s="8">
        <f t="shared" si="22"/>
        <v>1.1322611903507131E-6</v>
      </c>
      <c r="Q70" s="7">
        <f t="shared" si="23"/>
        <v>563.86863735038412</v>
      </c>
      <c r="S70" s="4">
        <f t="shared" si="24"/>
        <v>6</v>
      </c>
      <c r="T70">
        <f t="shared" si="25"/>
        <v>0.1</v>
      </c>
    </row>
    <row r="71" spans="13:20" x14ac:dyDescent="0.45">
      <c r="M71" s="4">
        <v>8</v>
      </c>
      <c r="N71">
        <f t="shared" si="17"/>
        <v>0.1</v>
      </c>
      <c r="O71">
        <f t="shared" si="21"/>
        <v>28.284271247461902</v>
      </c>
      <c r="P71" s="8">
        <f t="shared" si="22"/>
        <v>1.1322611903507131E-6</v>
      </c>
      <c r="Q71" s="7">
        <f t="shared" si="23"/>
        <v>651.09941912366344</v>
      </c>
      <c r="S71" s="4">
        <f t="shared" si="24"/>
        <v>8</v>
      </c>
      <c r="T71">
        <f t="shared" si="25"/>
        <v>0.1</v>
      </c>
    </row>
    <row r="72" spans="13:20" x14ac:dyDescent="0.45">
      <c r="M72" s="4">
        <v>10</v>
      </c>
      <c r="N72">
        <f t="shared" si="17"/>
        <v>0.1</v>
      </c>
      <c r="O72">
        <f t="shared" si="21"/>
        <v>31.622776601683793</v>
      </c>
      <c r="P72" s="8">
        <f t="shared" si="22"/>
        <v>1.1322611903507131E-6</v>
      </c>
      <c r="Q72" s="7">
        <f t="shared" si="23"/>
        <v>727.95128063556899</v>
      </c>
      <c r="S72" s="4">
        <f t="shared" si="24"/>
        <v>10</v>
      </c>
      <c r="T72">
        <f t="shared" si="25"/>
        <v>0.1</v>
      </c>
    </row>
    <row r="73" spans="13:20" x14ac:dyDescent="0.45">
      <c r="M73" s="4">
        <v>20</v>
      </c>
      <c r="N73">
        <f t="shared" si="17"/>
        <v>0.1</v>
      </c>
      <c r="O73">
        <f t="shared" si="21"/>
        <v>44.721359549995796</v>
      </c>
      <c r="P73" s="8">
        <f t="shared" si="22"/>
        <v>1.1322611903507131E-6</v>
      </c>
      <c r="Q73" s="7">
        <f t="shared" si="23"/>
        <v>1029.4785738216847</v>
      </c>
      <c r="S73" s="4">
        <f t="shared" si="24"/>
        <v>20</v>
      </c>
      <c r="T73">
        <f t="shared" si="25"/>
        <v>0.1</v>
      </c>
    </row>
    <row r="74" spans="13:20" x14ac:dyDescent="0.45">
      <c r="M74" s="4">
        <v>40</v>
      </c>
      <c r="N74">
        <f t="shared" si="17"/>
        <v>0.1</v>
      </c>
      <c r="O74">
        <f t="shared" si="21"/>
        <v>63.245553203367585</v>
      </c>
      <c r="P74" s="8">
        <f t="shared" si="22"/>
        <v>1.1322611903507131E-6</v>
      </c>
      <c r="Q74" s="7">
        <f t="shared" si="23"/>
        <v>1455.902561271138</v>
      </c>
      <c r="S74" s="4">
        <f t="shared" si="24"/>
        <v>40</v>
      </c>
      <c r="T74">
        <f t="shared" si="25"/>
        <v>0.1</v>
      </c>
    </row>
    <row r="75" spans="13:20" x14ac:dyDescent="0.45">
      <c r="M75" s="4">
        <v>60</v>
      </c>
      <c r="N75">
        <f t="shared" si="17"/>
        <v>0.1</v>
      </c>
      <c r="O75">
        <f t="shared" si="21"/>
        <v>77.459666924148337</v>
      </c>
      <c r="P75" s="8">
        <f t="shared" si="22"/>
        <v>1.1322611903507131E-6</v>
      </c>
      <c r="Q75" s="7">
        <f t="shared" si="23"/>
        <v>1783.109195162705</v>
      </c>
      <c r="S75" s="4">
        <f t="shared" si="24"/>
        <v>59.999999999999986</v>
      </c>
      <c r="T75">
        <f t="shared" si="25"/>
        <v>0.1</v>
      </c>
    </row>
    <row r="76" spans="13:20" x14ac:dyDescent="0.45">
      <c r="M76" s="4">
        <v>80</v>
      </c>
      <c r="N76">
        <f t="shared" si="17"/>
        <v>0.1</v>
      </c>
      <c r="O76">
        <f t="shared" si="21"/>
        <v>89.442719099991592</v>
      </c>
      <c r="P76" s="8">
        <f t="shared" si="22"/>
        <v>1.1322611903507131E-6</v>
      </c>
      <c r="Q76" s="7">
        <f t="shared" si="23"/>
        <v>2058.9571476433694</v>
      </c>
      <c r="S76" s="4">
        <f t="shared" si="24"/>
        <v>80</v>
      </c>
      <c r="T76">
        <f t="shared" si="25"/>
        <v>0.1</v>
      </c>
    </row>
    <row r="77" spans="13:20" x14ac:dyDescent="0.45">
      <c r="M77" s="4">
        <v>100</v>
      </c>
      <c r="N77">
        <f t="shared" si="17"/>
        <v>0.1</v>
      </c>
      <c r="O77">
        <f t="shared" si="21"/>
        <v>100</v>
      </c>
      <c r="P77" s="8">
        <f t="shared" si="22"/>
        <v>1.1322611903507131E-6</v>
      </c>
      <c r="Q77" s="7">
        <f t="shared" si="23"/>
        <v>2301.9840724448222</v>
      </c>
      <c r="S77" s="4">
        <f t="shared" si="24"/>
        <v>99.999999999999986</v>
      </c>
      <c r="T77">
        <f t="shared" si="25"/>
        <v>0.1</v>
      </c>
    </row>
    <row r="78" spans="13:20" x14ac:dyDescent="0.45">
      <c r="M78" s="4">
        <v>200</v>
      </c>
      <c r="N78">
        <f t="shared" si="17"/>
        <v>0.1</v>
      </c>
      <c r="O78">
        <f t="shared" si="21"/>
        <v>141.42135623730951</v>
      </c>
      <c r="P78" s="8">
        <f t="shared" si="22"/>
        <v>1.1322611903507131E-6</v>
      </c>
      <c r="Q78" s="7">
        <f t="shared" si="23"/>
        <v>3255.4970956183174</v>
      </c>
      <c r="S78" s="4">
        <f t="shared" si="24"/>
        <v>200.00000000000003</v>
      </c>
      <c r="T78">
        <f t="shared" si="25"/>
        <v>0.1</v>
      </c>
    </row>
    <row r="79" spans="13:20" ht="14.65" thickBot="1" x14ac:dyDescent="0.5">
      <c r="M79" s="19">
        <v>400</v>
      </c>
      <c r="N79" s="20">
        <f t="shared" si="17"/>
        <v>0.1</v>
      </c>
      <c r="O79" s="20">
        <f t="shared" si="21"/>
        <v>200</v>
      </c>
      <c r="P79" s="21">
        <f t="shared" si="22"/>
        <v>1.1322611903507131E-6</v>
      </c>
      <c r="Q79" s="22">
        <f t="shared" si="23"/>
        <v>4603.9681448896445</v>
      </c>
      <c r="S79" s="4">
        <f t="shared" si="24"/>
        <v>399.99999999999994</v>
      </c>
      <c r="T79">
        <f t="shared" si="25"/>
        <v>0.1</v>
      </c>
    </row>
    <row r="81" spans="13:13" x14ac:dyDescent="0.45">
      <c r="M81" s="4"/>
    </row>
    <row r="82" spans="13:13" x14ac:dyDescent="0.45">
      <c r="M82" s="4"/>
    </row>
    <row r="84" spans="13:13" x14ac:dyDescent="0.45">
      <c r="M84" s="4"/>
    </row>
    <row r="85" spans="13:13" x14ac:dyDescent="0.45">
      <c r="M85" s="4"/>
    </row>
    <row r="87" spans="13:13" x14ac:dyDescent="0.45">
      <c r="M87" s="4"/>
    </row>
    <row r="90" spans="13:13" x14ac:dyDescent="0.45">
      <c r="M90" s="4"/>
    </row>
    <row r="91" spans="13:13" x14ac:dyDescent="0.45">
      <c r="M91" s="4"/>
    </row>
    <row r="93" spans="13:13" x14ac:dyDescent="0.45">
      <c r="M93" s="4"/>
    </row>
    <row r="94" spans="13:13" x14ac:dyDescent="0.45">
      <c r="M94" s="4"/>
    </row>
    <row r="96" spans="13:13" x14ac:dyDescent="0.45">
      <c r="M96" s="4"/>
    </row>
    <row r="99" spans="13:14" x14ac:dyDescent="0.45">
      <c r="M99" s="4"/>
    </row>
    <row r="100" spans="13:14" x14ac:dyDescent="0.45">
      <c r="M100" s="4"/>
    </row>
    <row r="102" spans="13:14" x14ac:dyDescent="0.45">
      <c r="M102" s="4"/>
    </row>
    <row r="103" spans="13:14" x14ac:dyDescent="0.45">
      <c r="M103" s="4"/>
    </row>
    <row r="105" spans="13:14" x14ac:dyDescent="0.45">
      <c r="M105" s="4"/>
    </row>
    <row r="106" spans="13:14" x14ac:dyDescent="0.45">
      <c r="M106">
        <v>1.9</v>
      </c>
      <c r="N106">
        <v>0.1</v>
      </c>
    </row>
  </sheetData>
  <mergeCells count="4">
    <mergeCell ref="A1:E1"/>
    <mergeCell ref="G25:L25"/>
    <mergeCell ref="G26:L26"/>
    <mergeCell ref="G27:L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F252-BC94-483F-B530-FC969D704D75}">
  <dimension ref="A1:K24"/>
  <sheetViews>
    <sheetView topLeftCell="C1" zoomScale="85" workbookViewId="0">
      <selection activeCell="H11" sqref="H11"/>
    </sheetView>
  </sheetViews>
  <sheetFormatPr defaultRowHeight="14.25" x14ac:dyDescent="0.45"/>
  <cols>
    <col min="1" max="1" width="16.86328125" customWidth="1"/>
    <col min="3" max="3" width="8.53125" customWidth="1"/>
    <col min="4" max="4" width="11.265625" customWidth="1"/>
    <col min="5" max="5" width="12.3984375" customWidth="1"/>
    <col min="6" max="6" width="8.3984375" customWidth="1"/>
  </cols>
  <sheetData>
    <row r="1" spans="1:11" x14ac:dyDescent="0.45">
      <c r="A1" s="4"/>
    </row>
    <row r="2" spans="1:11" x14ac:dyDescent="0.45">
      <c r="A2" s="4"/>
      <c r="B2" s="23" t="s">
        <v>40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45">
      <c r="A3" s="12" t="s">
        <v>2</v>
      </c>
      <c r="B3" t="s">
        <v>41</v>
      </c>
      <c r="C3" t="s">
        <v>74</v>
      </c>
      <c r="D3" t="s">
        <v>75</v>
      </c>
      <c r="E3" t="s">
        <v>76</v>
      </c>
      <c r="F3" t="s">
        <v>77</v>
      </c>
      <c r="G3" t="s">
        <v>42</v>
      </c>
      <c r="H3" t="s">
        <v>43</v>
      </c>
      <c r="I3" t="s">
        <v>44</v>
      </c>
      <c r="J3" t="s">
        <v>45</v>
      </c>
    </row>
    <row r="4" spans="1:11" x14ac:dyDescent="0.45">
      <c r="A4" s="13">
        <v>1E-3</v>
      </c>
      <c r="B4" s="14" t="s">
        <v>73</v>
      </c>
      <c r="C4" s="14">
        <v>0.38</v>
      </c>
      <c r="D4" s="14">
        <v>1</v>
      </c>
      <c r="E4" s="14">
        <v>2.1</v>
      </c>
      <c r="F4" s="14">
        <v>3</v>
      </c>
      <c r="G4" s="14">
        <v>11</v>
      </c>
      <c r="H4" s="14">
        <v>35</v>
      </c>
      <c r="I4" s="14">
        <v>80</v>
      </c>
      <c r="J4" s="14">
        <v>1000</v>
      </c>
    </row>
    <row r="5" spans="1:11" x14ac:dyDescent="0.45">
      <c r="A5" s="15">
        <v>1E-3</v>
      </c>
      <c r="B5" s="16" t="s">
        <v>71</v>
      </c>
      <c r="C5" s="16">
        <v>0.3</v>
      </c>
      <c r="D5" s="16">
        <v>0.7</v>
      </c>
      <c r="E5" s="16">
        <v>1.25</v>
      </c>
      <c r="F5" s="16">
        <v>1.55</v>
      </c>
      <c r="G5" s="16">
        <v>7</v>
      </c>
      <c r="H5" s="16">
        <v>7</v>
      </c>
      <c r="I5" s="16">
        <v>7</v>
      </c>
      <c r="J5" s="16">
        <v>1000</v>
      </c>
    </row>
    <row r="6" spans="1:11" x14ac:dyDescent="0.45">
      <c r="A6" s="11">
        <v>1E-3</v>
      </c>
      <c r="B6" t="s">
        <v>72</v>
      </c>
      <c r="C6">
        <v>0.3</v>
      </c>
      <c r="D6">
        <v>0.7</v>
      </c>
      <c r="E6">
        <v>1.25</v>
      </c>
      <c r="F6">
        <v>1.55</v>
      </c>
      <c r="G6">
        <v>7</v>
      </c>
      <c r="H6">
        <v>70</v>
      </c>
      <c r="I6">
        <v>300</v>
      </c>
      <c r="J6">
        <v>1000</v>
      </c>
    </row>
    <row r="7" spans="1:11" x14ac:dyDescent="0.45">
      <c r="A7" s="13">
        <v>0.01</v>
      </c>
      <c r="B7" s="14" t="s">
        <v>73</v>
      </c>
      <c r="C7" s="14">
        <v>0.38</v>
      </c>
      <c r="D7" s="14">
        <v>1</v>
      </c>
      <c r="E7" s="14">
        <v>2.1</v>
      </c>
      <c r="F7" s="14">
        <v>3</v>
      </c>
      <c r="G7" s="14">
        <v>11</v>
      </c>
      <c r="H7" s="14">
        <v>35</v>
      </c>
      <c r="I7" s="14">
        <v>80</v>
      </c>
      <c r="J7" s="14">
        <v>1000</v>
      </c>
    </row>
    <row r="8" spans="1:11" x14ac:dyDescent="0.45">
      <c r="A8" s="15">
        <v>0.01</v>
      </c>
      <c r="B8" s="16" t="s">
        <v>71</v>
      </c>
      <c r="C8" s="16">
        <v>0.3</v>
      </c>
      <c r="D8" s="16">
        <v>0.7</v>
      </c>
      <c r="E8" s="16">
        <v>1.25</v>
      </c>
      <c r="F8" s="16">
        <v>1.55</v>
      </c>
      <c r="G8" s="16">
        <v>7</v>
      </c>
      <c r="H8" s="16">
        <v>7</v>
      </c>
      <c r="I8" s="16">
        <v>7</v>
      </c>
      <c r="J8" s="16">
        <v>1000</v>
      </c>
    </row>
    <row r="9" spans="1:11" x14ac:dyDescent="0.45">
      <c r="A9" s="11">
        <v>0.01</v>
      </c>
      <c r="B9" t="s">
        <v>72</v>
      </c>
      <c r="C9">
        <v>0.3</v>
      </c>
      <c r="D9">
        <v>0.7</v>
      </c>
      <c r="E9">
        <v>1.25</v>
      </c>
      <c r="F9">
        <v>1.55</v>
      </c>
      <c r="G9">
        <v>7</v>
      </c>
      <c r="H9">
        <v>70</v>
      </c>
      <c r="I9">
        <v>300</v>
      </c>
      <c r="J9">
        <v>1000</v>
      </c>
    </row>
    <row r="10" spans="1:11" x14ac:dyDescent="0.45">
      <c r="A10" s="13">
        <v>0.1</v>
      </c>
      <c r="B10" s="14" t="s">
        <v>73</v>
      </c>
      <c r="C10" s="14">
        <v>0.38</v>
      </c>
      <c r="D10" s="14">
        <v>1</v>
      </c>
      <c r="E10" s="14">
        <v>2.1</v>
      </c>
      <c r="F10" s="14">
        <v>5</v>
      </c>
      <c r="G10" s="14">
        <v>11</v>
      </c>
      <c r="H10" s="14">
        <v>37</v>
      </c>
      <c r="I10" s="14">
        <v>80</v>
      </c>
      <c r="J10" s="14">
        <v>1000</v>
      </c>
    </row>
    <row r="11" spans="1:11" x14ac:dyDescent="0.45">
      <c r="A11" s="15">
        <v>0.1</v>
      </c>
      <c r="B11" s="16" t="s">
        <v>71</v>
      </c>
      <c r="C11" s="16">
        <v>0.3</v>
      </c>
      <c r="D11" s="16">
        <v>0.7</v>
      </c>
      <c r="E11" s="16">
        <v>1.35</v>
      </c>
      <c r="F11" s="16">
        <v>3</v>
      </c>
      <c r="G11" s="16">
        <v>7</v>
      </c>
      <c r="H11" s="16">
        <v>7</v>
      </c>
      <c r="I11" s="16">
        <v>7</v>
      </c>
      <c r="J11" s="16">
        <v>1000</v>
      </c>
    </row>
    <row r="12" spans="1:11" x14ac:dyDescent="0.45">
      <c r="A12" s="11">
        <v>0.1</v>
      </c>
      <c r="B12" t="s">
        <v>72</v>
      </c>
      <c r="C12">
        <v>0.3</v>
      </c>
      <c r="D12">
        <v>0.7</v>
      </c>
      <c r="E12">
        <v>1.35</v>
      </c>
      <c r="F12">
        <v>3</v>
      </c>
      <c r="G12">
        <v>7</v>
      </c>
      <c r="H12">
        <v>70</v>
      </c>
      <c r="I12">
        <v>300</v>
      </c>
      <c r="J12">
        <v>1000</v>
      </c>
    </row>
    <row r="13" spans="1:11" x14ac:dyDescent="0.45">
      <c r="A13" s="11"/>
    </row>
    <row r="14" spans="1:11" x14ac:dyDescent="0.45">
      <c r="A14" s="4"/>
      <c r="B14" s="23" t="s">
        <v>46</v>
      </c>
      <c r="C14" s="23"/>
      <c r="D14" s="23"/>
      <c r="E14" s="23"/>
      <c r="F14" s="23"/>
      <c r="G14" s="23"/>
      <c r="H14" s="23"/>
      <c r="I14" s="23"/>
      <c r="J14" s="23"/>
      <c r="K14" s="23"/>
    </row>
    <row r="15" spans="1:11" x14ac:dyDescent="0.45">
      <c r="A15" s="12" t="s">
        <v>2</v>
      </c>
      <c r="B15" t="s">
        <v>41</v>
      </c>
      <c r="C15" t="s">
        <v>74</v>
      </c>
      <c r="D15" t="s">
        <v>75</v>
      </c>
      <c r="E15" t="s">
        <v>76</v>
      </c>
      <c r="F15" t="s">
        <v>77</v>
      </c>
      <c r="G15" t="s">
        <v>42</v>
      </c>
      <c r="H15" t="s">
        <v>43</v>
      </c>
      <c r="I15" t="s">
        <v>44</v>
      </c>
      <c r="J15" t="s">
        <v>45</v>
      </c>
    </row>
    <row r="16" spans="1:11" x14ac:dyDescent="0.45">
      <c r="A16" s="13">
        <v>1E-3</v>
      </c>
      <c r="B16" s="14" t="s">
        <v>73</v>
      </c>
      <c r="C16" s="14">
        <f t="shared" ref="C16:C24" si="0">C4</f>
        <v>0.38</v>
      </c>
      <c r="D16" s="14">
        <f t="shared" ref="D16:F16" si="1">D4-C4</f>
        <v>0.62</v>
      </c>
      <c r="E16" s="14">
        <f t="shared" si="1"/>
        <v>1.1000000000000001</v>
      </c>
      <c r="F16" s="14">
        <f t="shared" si="1"/>
        <v>0.89999999999999991</v>
      </c>
      <c r="G16" s="14">
        <f>G4-F4</f>
        <v>8</v>
      </c>
      <c r="H16" s="14">
        <f t="shared" ref="H16:I16" si="2">H4-G4</f>
        <v>24</v>
      </c>
      <c r="I16" s="14">
        <f t="shared" si="2"/>
        <v>45</v>
      </c>
      <c r="J16" s="14">
        <f>J4-I4</f>
        <v>920</v>
      </c>
    </row>
    <row r="17" spans="1:10" x14ac:dyDescent="0.45">
      <c r="A17" s="15">
        <v>1E-3</v>
      </c>
      <c r="B17" s="16" t="s">
        <v>71</v>
      </c>
      <c r="C17" s="16">
        <f t="shared" si="0"/>
        <v>0.3</v>
      </c>
      <c r="D17" s="16">
        <f t="shared" ref="D17:F22" si="3">D5-C5</f>
        <v>0.39999999999999997</v>
      </c>
      <c r="E17" s="16">
        <f t="shared" si="3"/>
        <v>0.55000000000000004</v>
      </c>
      <c r="F17" s="16">
        <f t="shared" si="3"/>
        <v>0.30000000000000004</v>
      </c>
      <c r="G17" s="16">
        <f>G5-F5</f>
        <v>5.45</v>
      </c>
      <c r="H17" s="16">
        <f t="shared" ref="H17:J17" si="4">H5-G5</f>
        <v>0</v>
      </c>
      <c r="I17" s="16">
        <f t="shared" si="4"/>
        <v>0</v>
      </c>
      <c r="J17" s="16">
        <f t="shared" si="4"/>
        <v>993</v>
      </c>
    </row>
    <row r="18" spans="1:10" x14ac:dyDescent="0.45">
      <c r="A18" s="11">
        <v>1E-3</v>
      </c>
      <c r="B18" t="s">
        <v>72</v>
      </c>
      <c r="C18">
        <f t="shared" si="0"/>
        <v>0.3</v>
      </c>
      <c r="D18">
        <f t="shared" si="3"/>
        <v>0.39999999999999997</v>
      </c>
      <c r="E18">
        <f t="shared" si="3"/>
        <v>0.55000000000000004</v>
      </c>
      <c r="F18">
        <f t="shared" si="3"/>
        <v>0.30000000000000004</v>
      </c>
      <c r="G18">
        <f t="shared" ref="G18:J18" si="5">G6-F6</f>
        <v>5.45</v>
      </c>
      <c r="H18">
        <f t="shared" si="5"/>
        <v>63</v>
      </c>
      <c r="I18">
        <f t="shared" si="5"/>
        <v>230</v>
      </c>
      <c r="J18">
        <f t="shared" si="5"/>
        <v>700</v>
      </c>
    </row>
    <row r="19" spans="1:10" x14ac:dyDescent="0.45">
      <c r="A19" s="13">
        <v>0.01</v>
      </c>
      <c r="B19" s="14" t="s">
        <v>73</v>
      </c>
      <c r="C19" s="14">
        <f t="shared" si="0"/>
        <v>0.38</v>
      </c>
      <c r="D19" s="14">
        <f t="shared" si="3"/>
        <v>0.62</v>
      </c>
      <c r="E19" s="14">
        <f t="shared" si="3"/>
        <v>1.1000000000000001</v>
      </c>
      <c r="F19" s="14">
        <f t="shared" si="3"/>
        <v>0.89999999999999991</v>
      </c>
      <c r="G19" s="14">
        <f t="shared" ref="G19:J19" si="6">G7-F7</f>
        <v>8</v>
      </c>
      <c r="H19" s="14">
        <f t="shared" si="6"/>
        <v>24</v>
      </c>
      <c r="I19" s="14">
        <f t="shared" si="6"/>
        <v>45</v>
      </c>
      <c r="J19" s="14">
        <f t="shared" si="6"/>
        <v>920</v>
      </c>
    </row>
    <row r="20" spans="1:10" x14ac:dyDescent="0.45">
      <c r="A20" s="15">
        <v>0.01</v>
      </c>
      <c r="B20" s="16" t="s">
        <v>71</v>
      </c>
      <c r="C20" s="16">
        <f t="shared" si="0"/>
        <v>0.3</v>
      </c>
      <c r="D20" s="16">
        <f t="shared" si="3"/>
        <v>0.39999999999999997</v>
      </c>
      <c r="E20" s="16">
        <f t="shared" si="3"/>
        <v>0.55000000000000004</v>
      </c>
      <c r="F20" s="16">
        <f t="shared" si="3"/>
        <v>0.30000000000000004</v>
      </c>
      <c r="G20" s="16">
        <f t="shared" ref="G20:J20" si="7">G8-F8</f>
        <v>5.45</v>
      </c>
      <c r="H20" s="16">
        <f t="shared" si="7"/>
        <v>0</v>
      </c>
      <c r="I20" s="16">
        <f t="shared" si="7"/>
        <v>0</v>
      </c>
      <c r="J20" s="16">
        <f t="shared" si="7"/>
        <v>993</v>
      </c>
    </row>
    <row r="21" spans="1:10" x14ac:dyDescent="0.45">
      <c r="A21" s="11">
        <v>0.01</v>
      </c>
      <c r="B21" t="s">
        <v>72</v>
      </c>
      <c r="C21">
        <f t="shared" si="0"/>
        <v>0.3</v>
      </c>
      <c r="D21">
        <f t="shared" si="3"/>
        <v>0.39999999999999997</v>
      </c>
      <c r="E21">
        <f t="shared" si="3"/>
        <v>0.55000000000000004</v>
      </c>
      <c r="F21">
        <f t="shared" si="3"/>
        <v>0.30000000000000004</v>
      </c>
      <c r="G21">
        <f t="shared" ref="G21:J21" si="8">G9-F9</f>
        <v>5.45</v>
      </c>
      <c r="H21">
        <f t="shared" si="8"/>
        <v>63</v>
      </c>
      <c r="I21">
        <f t="shared" si="8"/>
        <v>230</v>
      </c>
      <c r="J21">
        <f t="shared" si="8"/>
        <v>700</v>
      </c>
    </row>
    <row r="22" spans="1:10" x14ac:dyDescent="0.45">
      <c r="A22" s="13">
        <v>0.1</v>
      </c>
      <c r="B22" s="14" t="s">
        <v>73</v>
      </c>
      <c r="C22" s="14">
        <f t="shared" si="0"/>
        <v>0.38</v>
      </c>
      <c r="D22" s="14">
        <f t="shared" si="3"/>
        <v>0.62</v>
      </c>
      <c r="E22" s="14">
        <f t="shared" si="3"/>
        <v>1.1000000000000001</v>
      </c>
      <c r="F22" s="14">
        <f t="shared" si="3"/>
        <v>2.9</v>
      </c>
      <c r="G22" s="14">
        <f t="shared" ref="G22:J22" si="9">G10-F10</f>
        <v>6</v>
      </c>
      <c r="H22" s="14">
        <f t="shared" si="9"/>
        <v>26</v>
      </c>
      <c r="I22" s="14">
        <f t="shared" si="9"/>
        <v>43</v>
      </c>
      <c r="J22" s="14">
        <f t="shared" si="9"/>
        <v>920</v>
      </c>
    </row>
    <row r="23" spans="1:10" x14ac:dyDescent="0.45">
      <c r="A23" s="15">
        <v>0.1</v>
      </c>
      <c r="B23" s="16" t="s">
        <v>71</v>
      </c>
      <c r="C23" s="16">
        <f t="shared" si="0"/>
        <v>0.3</v>
      </c>
      <c r="D23" s="16">
        <f t="shared" ref="D23:F24" si="10">D11-C11</f>
        <v>0.39999999999999997</v>
      </c>
      <c r="E23" s="16">
        <f t="shared" si="10"/>
        <v>0.65000000000000013</v>
      </c>
      <c r="F23" s="16">
        <f t="shared" si="10"/>
        <v>1.65</v>
      </c>
      <c r="G23" s="16">
        <f>G11-F11</f>
        <v>4</v>
      </c>
      <c r="H23" s="16">
        <f t="shared" ref="H23:J23" si="11">H11-G11</f>
        <v>0</v>
      </c>
      <c r="I23" s="16">
        <f t="shared" si="11"/>
        <v>0</v>
      </c>
      <c r="J23" s="16">
        <f t="shared" si="11"/>
        <v>993</v>
      </c>
    </row>
    <row r="24" spans="1:10" x14ac:dyDescent="0.45">
      <c r="A24" s="11">
        <v>0.1</v>
      </c>
      <c r="B24" t="s">
        <v>72</v>
      </c>
      <c r="C24">
        <f t="shared" si="0"/>
        <v>0.3</v>
      </c>
      <c r="D24">
        <f t="shared" si="10"/>
        <v>0.39999999999999997</v>
      </c>
      <c r="E24">
        <f t="shared" si="10"/>
        <v>0.65000000000000013</v>
      </c>
      <c r="F24">
        <f t="shared" si="10"/>
        <v>1.65</v>
      </c>
      <c r="G24">
        <f t="shared" ref="G24:J24" si="12">G12-F12</f>
        <v>4</v>
      </c>
      <c r="H24">
        <f t="shared" si="12"/>
        <v>63</v>
      </c>
      <c r="I24">
        <f t="shared" si="12"/>
        <v>230</v>
      </c>
      <c r="J24">
        <f t="shared" si="12"/>
        <v>700</v>
      </c>
    </row>
  </sheetData>
  <mergeCells count="2">
    <mergeCell ref="B2:K2"/>
    <mergeCell ref="B14:K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F82D-E559-4505-AC06-38DDF4A20AB4}">
  <dimension ref="A1:P80"/>
  <sheetViews>
    <sheetView topLeftCell="A4" workbookViewId="0">
      <selection activeCell="D4" sqref="D3:D80"/>
    </sheetView>
  </sheetViews>
  <sheetFormatPr defaultRowHeight="14.25" x14ac:dyDescent="0.45"/>
  <cols>
    <col min="2" max="2" width="16" customWidth="1"/>
    <col min="3" max="3" width="20.1328125" customWidth="1"/>
    <col min="4" max="4" width="9" customWidth="1"/>
    <col min="5" max="5" width="10.73046875" customWidth="1"/>
    <col min="6" max="6" width="10.265625" customWidth="1"/>
    <col min="7" max="7" width="10.59765625" customWidth="1"/>
    <col min="9" max="9" width="9.265625" customWidth="1"/>
  </cols>
  <sheetData>
    <row r="1" spans="1:16" x14ac:dyDescent="0.45">
      <c r="A1" t="s">
        <v>47</v>
      </c>
      <c r="B1" t="s">
        <v>48</v>
      </c>
      <c r="D1" s="25" t="s">
        <v>49</v>
      </c>
      <c r="E1" s="25"/>
      <c r="F1" s="25"/>
    </row>
    <row r="2" spans="1:16" x14ac:dyDescent="0.45">
      <c r="A2" t="s">
        <v>64</v>
      </c>
      <c r="B2" t="s">
        <v>63</v>
      </c>
      <c r="D2" s="10" t="s">
        <v>1</v>
      </c>
      <c r="E2" s="9" t="s">
        <v>2</v>
      </c>
      <c r="F2" t="s">
        <v>48</v>
      </c>
      <c r="H2" t="s">
        <v>2</v>
      </c>
      <c r="I2" t="s">
        <v>63</v>
      </c>
      <c r="J2" t="s">
        <v>62</v>
      </c>
      <c r="K2" t="s">
        <v>61</v>
      </c>
      <c r="L2" t="s">
        <v>60</v>
      </c>
      <c r="M2" t="s">
        <v>59</v>
      </c>
      <c r="N2" t="s">
        <v>43</v>
      </c>
      <c r="O2" t="s">
        <v>50</v>
      </c>
      <c r="P2" t="s">
        <v>51</v>
      </c>
    </row>
    <row r="3" spans="1:16" x14ac:dyDescent="0.45">
      <c r="A3" t="s">
        <v>52</v>
      </c>
      <c r="B3" t="s">
        <v>62</v>
      </c>
      <c r="D3" s="4">
        <v>0.2</v>
      </c>
      <c r="E3">
        <f>10^-3</f>
        <v>1E-3</v>
      </c>
      <c r="F3" s="17">
        <v>5</v>
      </c>
      <c r="H3">
        <v>1E-3</v>
      </c>
      <c r="I3">
        <v>0.2</v>
      </c>
    </row>
    <row r="4" spans="1:16" x14ac:dyDescent="0.45">
      <c r="A4" t="s">
        <v>53</v>
      </c>
      <c r="B4" t="s">
        <v>61</v>
      </c>
      <c r="D4" s="4">
        <v>0.4</v>
      </c>
      <c r="E4">
        <f>10^-3</f>
        <v>1E-3</v>
      </c>
      <c r="F4" s="17">
        <v>1</v>
      </c>
      <c r="H4">
        <v>1E-3</v>
      </c>
      <c r="J4">
        <v>0.4</v>
      </c>
    </row>
    <row r="5" spans="1:16" x14ac:dyDescent="0.45">
      <c r="A5" t="s">
        <v>54</v>
      </c>
      <c r="B5" t="s">
        <v>60</v>
      </c>
      <c r="D5" s="4">
        <v>0.6</v>
      </c>
      <c r="E5">
        <f t="shared" ref="E5:E28" si="0">10^-3</f>
        <v>1E-3</v>
      </c>
      <c r="F5" s="17">
        <v>1</v>
      </c>
      <c r="H5">
        <v>1E-3</v>
      </c>
      <c r="J5">
        <v>0.6</v>
      </c>
    </row>
    <row r="6" spans="1:16" x14ac:dyDescent="0.45">
      <c r="A6" t="s">
        <v>55</v>
      </c>
      <c r="B6" t="s">
        <v>59</v>
      </c>
      <c r="D6" s="4">
        <v>0.8</v>
      </c>
      <c r="E6">
        <f t="shared" si="0"/>
        <v>1E-3</v>
      </c>
      <c r="F6" s="17">
        <v>2</v>
      </c>
      <c r="H6">
        <v>1E-3</v>
      </c>
      <c r="K6">
        <v>0.8</v>
      </c>
    </row>
    <row r="7" spans="1:16" x14ac:dyDescent="0.45">
      <c r="A7" t="s">
        <v>56</v>
      </c>
      <c r="B7" t="s">
        <v>43</v>
      </c>
      <c r="D7" s="4">
        <v>1</v>
      </c>
      <c r="E7">
        <f t="shared" si="0"/>
        <v>1E-3</v>
      </c>
      <c r="F7" s="17">
        <v>2</v>
      </c>
      <c r="H7">
        <v>1E-3</v>
      </c>
      <c r="K7">
        <v>1</v>
      </c>
    </row>
    <row r="8" spans="1:16" x14ac:dyDescent="0.45">
      <c r="A8" t="s">
        <v>57</v>
      </c>
      <c r="B8" t="s">
        <v>50</v>
      </c>
      <c r="D8" s="4">
        <v>1.1000000000000001</v>
      </c>
      <c r="E8">
        <f t="shared" si="0"/>
        <v>1E-3</v>
      </c>
      <c r="F8" s="17">
        <v>2</v>
      </c>
      <c r="H8">
        <v>1E-3</v>
      </c>
      <c r="K8">
        <v>1.1000000000000001</v>
      </c>
    </row>
    <row r="9" spans="1:16" x14ac:dyDescent="0.45">
      <c r="A9" t="s">
        <v>58</v>
      </c>
      <c r="B9" t="s">
        <v>51</v>
      </c>
      <c r="D9" s="4">
        <v>1.2</v>
      </c>
      <c r="E9">
        <f t="shared" si="0"/>
        <v>1E-3</v>
      </c>
      <c r="F9" s="17">
        <v>2</v>
      </c>
      <c r="H9">
        <v>1E-3</v>
      </c>
      <c r="K9">
        <v>1.2</v>
      </c>
    </row>
    <row r="10" spans="1:16" x14ac:dyDescent="0.45">
      <c r="D10" s="4">
        <v>1.3</v>
      </c>
      <c r="E10">
        <f t="shared" si="0"/>
        <v>1E-3</v>
      </c>
      <c r="F10" s="17" t="s">
        <v>69</v>
      </c>
      <c r="H10">
        <v>1E-3</v>
      </c>
      <c r="L10">
        <v>1.3</v>
      </c>
    </row>
    <row r="11" spans="1:16" x14ac:dyDescent="0.45">
      <c r="D11" s="4">
        <v>1.4</v>
      </c>
      <c r="E11">
        <f t="shared" si="0"/>
        <v>1E-3</v>
      </c>
      <c r="F11" s="17" t="s">
        <v>69</v>
      </c>
      <c r="H11">
        <v>1E-3</v>
      </c>
      <c r="L11">
        <v>1.4</v>
      </c>
    </row>
    <row r="12" spans="1:16" x14ac:dyDescent="0.45">
      <c r="D12" s="4">
        <v>1.5</v>
      </c>
      <c r="E12">
        <f t="shared" si="0"/>
        <v>1E-3</v>
      </c>
      <c r="F12" s="17" t="s">
        <v>69</v>
      </c>
      <c r="H12">
        <v>1E-3</v>
      </c>
      <c r="L12">
        <v>1.5</v>
      </c>
    </row>
    <row r="13" spans="1:16" x14ac:dyDescent="0.45">
      <c r="D13" s="4">
        <v>1.6</v>
      </c>
      <c r="E13">
        <f t="shared" si="0"/>
        <v>1E-3</v>
      </c>
      <c r="F13" s="17" t="s">
        <v>65</v>
      </c>
      <c r="H13">
        <v>1E-3</v>
      </c>
      <c r="M13">
        <v>1.6</v>
      </c>
    </row>
    <row r="14" spans="1:16" x14ac:dyDescent="0.45">
      <c r="D14" s="4">
        <v>1.7</v>
      </c>
      <c r="E14">
        <f t="shared" si="0"/>
        <v>1E-3</v>
      </c>
      <c r="F14" s="17" t="s">
        <v>65</v>
      </c>
      <c r="H14">
        <v>1E-3</v>
      </c>
      <c r="M14">
        <v>1.7</v>
      </c>
    </row>
    <row r="15" spans="1:16" x14ac:dyDescent="0.45">
      <c r="D15" s="4">
        <v>1.8</v>
      </c>
      <c r="E15">
        <f t="shared" si="0"/>
        <v>1E-3</v>
      </c>
      <c r="F15" s="17" t="s">
        <v>65</v>
      </c>
      <c r="H15">
        <v>1E-3</v>
      </c>
      <c r="M15">
        <v>1.8</v>
      </c>
    </row>
    <row r="16" spans="1:16" x14ac:dyDescent="0.45">
      <c r="D16" s="4">
        <v>1.9</v>
      </c>
      <c r="E16">
        <f t="shared" si="0"/>
        <v>1E-3</v>
      </c>
      <c r="F16" s="17" t="s">
        <v>65</v>
      </c>
      <c r="H16">
        <v>1E-3</v>
      </c>
      <c r="M16">
        <v>1.9</v>
      </c>
    </row>
    <row r="17" spans="4:16" x14ac:dyDescent="0.45">
      <c r="D17" s="4">
        <v>2</v>
      </c>
      <c r="E17">
        <f t="shared" si="0"/>
        <v>1E-3</v>
      </c>
      <c r="F17" s="17" t="s">
        <v>65</v>
      </c>
      <c r="H17">
        <v>1E-3</v>
      </c>
      <c r="M17">
        <v>2</v>
      </c>
    </row>
    <row r="18" spans="4:16" x14ac:dyDescent="0.45">
      <c r="D18" s="4">
        <v>4</v>
      </c>
      <c r="E18">
        <f t="shared" si="0"/>
        <v>1E-3</v>
      </c>
      <c r="F18" s="17" t="s">
        <v>65</v>
      </c>
      <c r="H18">
        <v>1E-3</v>
      </c>
      <c r="M18">
        <v>4</v>
      </c>
    </row>
    <row r="19" spans="4:16" x14ac:dyDescent="0.45">
      <c r="D19" s="4">
        <v>6</v>
      </c>
      <c r="E19">
        <f t="shared" si="0"/>
        <v>1E-3</v>
      </c>
      <c r="F19" s="17" t="s">
        <v>65</v>
      </c>
      <c r="H19">
        <v>1E-3</v>
      </c>
      <c r="M19">
        <v>6</v>
      </c>
    </row>
    <row r="20" spans="4:16" x14ac:dyDescent="0.45">
      <c r="D20" s="4">
        <v>8</v>
      </c>
      <c r="E20">
        <f t="shared" si="0"/>
        <v>1E-3</v>
      </c>
      <c r="F20" s="17" t="s">
        <v>66</v>
      </c>
      <c r="H20">
        <v>1E-3</v>
      </c>
      <c r="N20">
        <v>8</v>
      </c>
    </row>
    <row r="21" spans="4:16" x14ac:dyDescent="0.45">
      <c r="D21" s="4">
        <v>10</v>
      </c>
      <c r="E21">
        <f t="shared" si="0"/>
        <v>1E-3</v>
      </c>
      <c r="F21" s="17" t="s">
        <v>66</v>
      </c>
      <c r="H21">
        <v>1E-3</v>
      </c>
      <c r="N21">
        <v>10</v>
      </c>
    </row>
    <row r="22" spans="4:16" x14ac:dyDescent="0.45">
      <c r="D22" s="4">
        <v>20</v>
      </c>
      <c r="E22">
        <f t="shared" si="0"/>
        <v>1E-3</v>
      </c>
      <c r="F22" s="17" t="s">
        <v>66</v>
      </c>
      <c r="H22">
        <v>1E-3</v>
      </c>
      <c r="N22">
        <v>20</v>
      </c>
    </row>
    <row r="23" spans="4:16" x14ac:dyDescent="0.45">
      <c r="D23" s="4">
        <v>40</v>
      </c>
      <c r="E23">
        <f t="shared" si="0"/>
        <v>1E-3</v>
      </c>
      <c r="F23" s="17" t="s">
        <v>66</v>
      </c>
      <c r="H23">
        <v>1E-3</v>
      </c>
      <c r="N23">
        <v>40</v>
      </c>
    </row>
    <row r="24" spans="4:16" x14ac:dyDescent="0.45">
      <c r="D24" s="4">
        <v>60</v>
      </c>
      <c r="E24">
        <f t="shared" si="0"/>
        <v>1E-3</v>
      </c>
      <c r="F24" s="17" t="s">
        <v>66</v>
      </c>
      <c r="H24">
        <v>1E-3</v>
      </c>
      <c r="N24">
        <v>60</v>
      </c>
    </row>
    <row r="25" spans="4:16" x14ac:dyDescent="0.45">
      <c r="D25" s="4">
        <v>80</v>
      </c>
      <c r="E25">
        <f t="shared" si="0"/>
        <v>1E-3</v>
      </c>
      <c r="F25" s="17" t="s">
        <v>67</v>
      </c>
      <c r="H25">
        <v>1E-3</v>
      </c>
      <c r="O25">
        <v>80</v>
      </c>
    </row>
    <row r="26" spans="4:16" x14ac:dyDescent="0.45">
      <c r="D26" s="4">
        <v>100</v>
      </c>
      <c r="E26">
        <f t="shared" si="0"/>
        <v>1E-3</v>
      </c>
      <c r="F26" s="17" t="s">
        <v>67</v>
      </c>
      <c r="H26">
        <v>1E-3</v>
      </c>
      <c r="O26">
        <v>100</v>
      </c>
    </row>
    <row r="27" spans="4:16" x14ac:dyDescent="0.45">
      <c r="D27" s="4">
        <v>200</v>
      </c>
      <c r="E27">
        <f t="shared" si="0"/>
        <v>1E-3</v>
      </c>
      <c r="F27" s="17" t="s">
        <v>67</v>
      </c>
      <c r="H27">
        <v>1E-3</v>
      </c>
      <c r="O27">
        <v>200</v>
      </c>
    </row>
    <row r="28" spans="4:16" x14ac:dyDescent="0.45">
      <c r="D28" s="4">
        <v>400</v>
      </c>
      <c r="E28">
        <f t="shared" si="0"/>
        <v>1E-3</v>
      </c>
      <c r="F28" s="17" t="s">
        <v>68</v>
      </c>
      <c r="H28">
        <v>1E-3</v>
      </c>
      <c r="P28">
        <v>400</v>
      </c>
    </row>
    <row r="29" spans="4:16" x14ac:dyDescent="0.45">
      <c r="D29" s="4">
        <v>0.2</v>
      </c>
      <c r="E29">
        <f>10^-3</f>
        <v>1E-3</v>
      </c>
      <c r="F29" s="17">
        <v>5</v>
      </c>
      <c r="H29">
        <v>0.01</v>
      </c>
      <c r="I29">
        <v>0.2</v>
      </c>
    </row>
    <row r="30" spans="4:16" x14ac:dyDescent="0.45">
      <c r="D30" s="4">
        <v>0.4</v>
      </c>
      <c r="E30">
        <f>10^-2</f>
        <v>0.01</v>
      </c>
      <c r="F30" s="17">
        <v>1</v>
      </c>
      <c r="H30">
        <v>0.01</v>
      </c>
      <c r="J30">
        <v>0.4</v>
      </c>
    </row>
    <row r="31" spans="4:16" x14ac:dyDescent="0.45">
      <c r="D31" s="4">
        <v>0.6</v>
      </c>
      <c r="E31">
        <f t="shared" ref="E31:E54" si="1">10^-2</f>
        <v>0.01</v>
      </c>
      <c r="F31" s="17">
        <v>1</v>
      </c>
      <c r="H31">
        <v>0.01</v>
      </c>
      <c r="J31">
        <v>0.6</v>
      </c>
    </row>
    <row r="32" spans="4:16" x14ac:dyDescent="0.45">
      <c r="D32" s="4">
        <v>0.8</v>
      </c>
      <c r="E32">
        <f t="shared" si="1"/>
        <v>0.01</v>
      </c>
      <c r="F32" s="17">
        <v>2</v>
      </c>
      <c r="H32">
        <v>0.01</v>
      </c>
      <c r="K32">
        <v>0.8</v>
      </c>
    </row>
    <row r="33" spans="4:14" x14ac:dyDescent="0.45">
      <c r="D33" s="4">
        <v>1</v>
      </c>
      <c r="E33">
        <f t="shared" si="1"/>
        <v>0.01</v>
      </c>
      <c r="F33" s="17">
        <v>2</v>
      </c>
      <c r="H33">
        <v>0.01</v>
      </c>
      <c r="K33">
        <v>1</v>
      </c>
    </row>
    <row r="34" spans="4:14" x14ac:dyDescent="0.45">
      <c r="D34" s="4">
        <v>1.1000000000000001</v>
      </c>
      <c r="E34">
        <f t="shared" si="1"/>
        <v>0.01</v>
      </c>
      <c r="F34" s="17">
        <v>2</v>
      </c>
      <c r="H34">
        <v>0.01</v>
      </c>
      <c r="K34">
        <v>1.1000000000000001</v>
      </c>
    </row>
    <row r="35" spans="4:14" x14ac:dyDescent="0.45">
      <c r="D35" s="4">
        <v>1.2</v>
      </c>
      <c r="E35">
        <f t="shared" si="1"/>
        <v>0.01</v>
      </c>
      <c r="F35" s="17">
        <v>2</v>
      </c>
      <c r="H35">
        <v>0.01</v>
      </c>
      <c r="K35">
        <v>1.2</v>
      </c>
    </row>
    <row r="36" spans="4:14" x14ac:dyDescent="0.45">
      <c r="D36" s="4">
        <v>1.3</v>
      </c>
      <c r="E36">
        <f t="shared" si="1"/>
        <v>0.01</v>
      </c>
      <c r="F36" s="17" t="s">
        <v>69</v>
      </c>
      <c r="H36">
        <v>0.01</v>
      </c>
      <c r="L36">
        <v>1.3</v>
      </c>
    </row>
    <row r="37" spans="4:14" x14ac:dyDescent="0.45">
      <c r="D37" s="4">
        <v>1.4</v>
      </c>
      <c r="E37">
        <f t="shared" si="1"/>
        <v>0.01</v>
      </c>
      <c r="F37" s="17" t="s">
        <v>69</v>
      </c>
      <c r="H37">
        <v>0.01</v>
      </c>
      <c r="L37">
        <v>1.4</v>
      </c>
    </row>
    <row r="38" spans="4:14" x14ac:dyDescent="0.45">
      <c r="D38" s="4">
        <v>1.5</v>
      </c>
      <c r="E38">
        <f t="shared" si="1"/>
        <v>0.01</v>
      </c>
      <c r="F38" s="17" t="s">
        <v>69</v>
      </c>
      <c r="H38">
        <v>0.01</v>
      </c>
      <c r="L38">
        <v>1.5</v>
      </c>
    </row>
    <row r="39" spans="4:14" x14ac:dyDescent="0.45">
      <c r="D39" s="4">
        <v>1.6</v>
      </c>
      <c r="E39">
        <f t="shared" si="1"/>
        <v>0.01</v>
      </c>
      <c r="F39" s="17" t="s">
        <v>65</v>
      </c>
      <c r="H39">
        <v>0.01</v>
      </c>
      <c r="M39">
        <v>1.6</v>
      </c>
    </row>
    <row r="40" spans="4:14" x14ac:dyDescent="0.45">
      <c r="D40" s="4">
        <v>1.7</v>
      </c>
      <c r="E40">
        <f t="shared" si="1"/>
        <v>0.01</v>
      </c>
      <c r="F40" s="17" t="s">
        <v>65</v>
      </c>
      <c r="H40">
        <v>0.01</v>
      </c>
      <c r="M40">
        <v>1.7</v>
      </c>
    </row>
    <row r="41" spans="4:14" x14ac:dyDescent="0.45">
      <c r="D41" s="4">
        <v>1.8</v>
      </c>
      <c r="E41">
        <f t="shared" si="1"/>
        <v>0.01</v>
      </c>
      <c r="F41" s="17" t="s">
        <v>65</v>
      </c>
      <c r="H41">
        <v>0.01</v>
      </c>
      <c r="M41">
        <v>1.8</v>
      </c>
    </row>
    <row r="42" spans="4:14" x14ac:dyDescent="0.45">
      <c r="D42" s="4">
        <v>1.9</v>
      </c>
      <c r="E42">
        <f t="shared" si="1"/>
        <v>0.01</v>
      </c>
      <c r="F42" s="17" t="s">
        <v>65</v>
      </c>
      <c r="H42">
        <v>0.01</v>
      </c>
      <c r="M42">
        <v>1.9</v>
      </c>
    </row>
    <row r="43" spans="4:14" x14ac:dyDescent="0.45">
      <c r="D43" s="4">
        <v>2</v>
      </c>
      <c r="E43">
        <f t="shared" si="1"/>
        <v>0.01</v>
      </c>
      <c r="F43" s="17" t="s">
        <v>65</v>
      </c>
      <c r="H43">
        <v>0.01</v>
      </c>
      <c r="M43">
        <v>2</v>
      </c>
    </row>
    <row r="44" spans="4:14" x14ac:dyDescent="0.45">
      <c r="D44" s="4">
        <v>4</v>
      </c>
      <c r="E44">
        <f t="shared" si="1"/>
        <v>0.01</v>
      </c>
      <c r="F44" s="17" t="s">
        <v>65</v>
      </c>
      <c r="H44">
        <v>0.01</v>
      </c>
      <c r="M44">
        <v>4</v>
      </c>
    </row>
    <row r="45" spans="4:14" x14ac:dyDescent="0.45">
      <c r="D45" s="4">
        <v>6</v>
      </c>
      <c r="E45">
        <f t="shared" si="1"/>
        <v>0.01</v>
      </c>
      <c r="F45" s="17" t="s">
        <v>65</v>
      </c>
      <c r="H45">
        <v>0.01</v>
      </c>
      <c r="M45">
        <v>6</v>
      </c>
    </row>
    <row r="46" spans="4:14" x14ac:dyDescent="0.45">
      <c r="D46" s="4">
        <v>8</v>
      </c>
      <c r="E46">
        <f t="shared" si="1"/>
        <v>0.01</v>
      </c>
      <c r="F46" s="17" t="s">
        <v>66</v>
      </c>
      <c r="H46">
        <v>0.01</v>
      </c>
      <c r="N46">
        <v>8</v>
      </c>
    </row>
    <row r="47" spans="4:14" x14ac:dyDescent="0.45">
      <c r="D47" s="4">
        <v>10</v>
      </c>
      <c r="E47">
        <f t="shared" si="1"/>
        <v>0.01</v>
      </c>
      <c r="F47" s="17" t="s">
        <v>66</v>
      </c>
      <c r="H47">
        <v>0.01</v>
      </c>
      <c r="N47">
        <v>10</v>
      </c>
    </row>
    <row r="48" spans="4:14" x14ac:dyDescent="0.45">
      <c r="D48" s="4">
        <v>20</v>
      </c>
      <c r="E48">
        <f t="shared" si="1"/>
        <v>0.01</v>
      </c>
      <c r="F48" s="17" t="s">
        <v>66</v>
      </c>
      <c r="H48">
        <v>0.01</v>
      </c>
      <c r="N48">
        <v>20</v>
      </c>
    </row>
    <row r="49" spans="4:16" x14ac:dyDescent="0.45">
      <c r="D49" s="4">
        <v>40</v>
      </c>
      <c r="E49">
        <f t="shared" si="1"/>
        <v>0.01</v>
      </c>
      <c r="F49" s="17" t="s">
        <v>66</v>
      </c>
      <c r="H49">
        <v>0.01</v>
      </c>
      <c r="N49">
        <v>40</v>
      </c>
    </row>
    <row r="50" spans="4:16" x14ac:dyDescent="0.45">
      <c r="D50" s="4">
        <v>60</v>
      </c>
      <c r="E50">
        <f t="shared" si="1"/>
        <v>0.01</v>
      </c>
      <c r="F50" s="17" t="s">
        <v>66</v>
      </c>
      <c r="H50">
        <v>0.01</v>
      </c>
      <c r="N50">
        <v>60</v>
      </c>
    </row>
    <row r="51" spans="4:16" x14ac:dyDescent="0.45">
      <c r="D51" s="4">
        <v>80</v>
      </c>
      <c r="E51">
        <f t="shared" si="1"/>
        <v>0.01</v>
      </c>
      <c r="F51" s="17" t="s">
        <v>66</v>
      </c>
      <c r="H51">
        <v>0.01</v>
      </c>
      <c r="O51">
        <v>80</v>
      </c>
    </row>
    <row r="52" spans="4:16" x14ac:dyDescent="0.45">
      <c r="D52" s="4">
        <v>100</v>
      </c>
      <c r="E52">
        <f t="shared" si="1"/>
        <v>0.01</v>
      </c>
      <c r="F52" s="17" t="s">
        <v>67</v>
      </c>
      <c r="H52">
        <v>0.01</v>
      </c>
      <c r="O52">
        <v>100</v>
      </c>
    </row>
    <row r="53" spans="4:16" x14ac:dyDescent="0.45">
      <c r="D53" s="4">
        <v>200</v>
      </c>
      <c r="E53">
        <f t="shared" si="1"/>
        <v>0.01</v>
      </c>
      <c r="F53" s="17" t="s">
        <v>67</v>
      </c>
      <c r="H53">
        <v>0.01</v>
      </c>
      <c r="O53">
        <v>200</v>
      </c>
    </row>
    <row r="54" spans="4:16" x14ac:dyDescent="0.45">
      <c r="D54" s="4">
        <v>400</v>
      </c>
      <c r="E54">
        <f t="shared" si="1"/>
        <v>0.01</v>
      </c>
      <c r="F54" s="17" t="s">
        <v>68</v>
      </c>
      <c r="H54">
        <v>0.01</v>
      </c>
      <c r="P54">
        <v>400</v>
      </c>
    </row>
    <row r="55" spans="4:16" x14ac:dyDescent="0.45">
      <c r="D55" s="4">
        <v>0.2</v>
      </c>
      <c r="E55">
        <v>0.1</v>
      </c>
      <c r="F55" s="17">
        <v>5</v>
      </c>
      <c r="H55">
        <v>0.1</v>
      </c>
      <c r="I55">
        <v>0.2</v>
      </c>
    </row>
    <row r="56" spans="4:16" x14ac:dyDescent="0.45">
      <c r="D56" s="4">
        <v>0.4</v>
      </c>
      <c r="E56">
        <f>10^-1</f>
        <v>0.1</v>
      </c>
      <c r="F56" s="17">
        <v>1</v>
      </c>
      <c r="H56">
        <v>0.1</v>
      </c>
      <c r="J56">
        <v>0.4</v>
      </c>
    </row>
    <row r="57" spans="4:16" x14ac:dyDescent="0.45">
      <c r="D57" s="4">
        <v>0.6</v>
      </c>
      <c r="E57">
        <f t="shared" ref="E57:E80" si="2">10^-1</f>
        <v>0.1</v>
      </c>
      <c r="F57" s="17">
        <v>1</v>
      </c>
      <c r="H57">
        <v>0.1</v>
      </c>
      <c r="J57">
        <v>0.6</v>
      </c>
    </row>
    <row r="58" spans="4:16" x14ac:dyDescent="0.45">
      <c r="D58" s="4">
        <v>0.8</v>
      </c>
      <c r="E58">
        <f t="shared" si="2"/>
        <v>0.1</v>
      </c>
      <c r="F58" s="17">
        <v>2</v>
      </c>
      <c r="H58">
        <v>0.1</v>
      </c>
      <c r="K58">
        <v>0.8</v>
      </c>
    </row>
    <row r="59" spans="4:16" x14ac:dyDescent="0.45">
      <c r="D59" s="4">
        <v>1</v>
      </c>
      <c r="E59">
        <f t="shared" si="2"/>
        <v>0.1</v>
      </c>
      <c r="F59" s="17">
        <v>2</v>
      </c>
      <c r="H59">
        <v>0.1</v>
      </c>
      <c r="K59">
        <v>1</v>
      </c>
    </row>
    <row r="60" spans="4:16" x14ac:dyDescent="0.45">
      <c r="D60" s="4">
        <v>1.1000000000000001</v>
      </c>
      <c r="E60">
        <f t="shared" si="2"/>
        <v>0.1</v>
      </c>
      <c r="F60" s="17">
        <v>2</v>
      </c>
      <c r="H60">
        <v>0.1</v>
      </c>
      <c r="K60">
        <v>1.1000000000000001</v>
      </c>
    </row>
    <row r="61" spans="4:16" x14ac:dyDescent="0.45">
      <c r="D61" s="4">
        <v>1.2</v>
      </c>
      <c r="E61">
        <f t="shared" si="2"/>
        <v>0.1</v>
      </c>
      <c r="F61" s="17">
        <v>2</v>
      </c>
      <c r="H61">
        <v>0.1</v>
      </c>
      <c r="K61">
        <v>1.2</v>
      </c>
    </row>
    <row r="62" spans="4:16" x14ac:dyDescent="0.45">
      <c r="D62" s="4">
        <v>1.3</v>
      </c>
      <c r="E62">
        <f t="shared" si="2"/>
        <v>0.1</v>
      </c>
      <c r="F62" s="17">
        <v>2</v>
      </c>
      <c r="H62">
        <v>0.1</v>
      </c>
      <c r="K62">
        <v>1.3</v>
      </c>
    </row>
    <row r="63" spans="4:16" x14ac:dyDescent="0.45">
      <c r="D63" s="4">
        <v>1.4</v>
      </c>
      <c r="E63">
        <f t="shared" si="2"/>
        <v>0.1</v>
      </c>
      <c r="F63" s="17" t="s">
        <v>69</v>
      </c>
      <c r="H63">
        <v>0.1</v>
      </c>
      <c r="L63">
        <v>1.4</v>
      </c>
    </row>
    <row r="64" spans="4:16" x14ac:dyDescent="0.45">
      <c r="D64" s="4">
        <v>1.5</v>
      </c>
      <c r="E64">
        <f t="shared" si="2"/>
        <v>0.1</v>
      </c>
      <c r="F64" s="17" t="s">
        <v>69</v>
      </c>
      <c r="H64">
        <v>0.1</v>
      </c>
      <c r="L64">
        <v>1.5</v>
      </c>
    </row>
    <row r="65" spans="4:16" x14ac:dyDescent="0.45">
      <c r="D65" s="4">
        <v>1.6</v>
      </c>
      <c r="E65">
        <f t="shared" si="2"/>
        <v>0.1</v>
      </c>
      <c r="F65" s="17" t="s">
        <v>69</v>
      </c>
      <c r="H65">
        <v>0.1</v>
      </c>
      <c r="L65">
        <v>1.6</v>
      </c>
    </row>
    <row r="66" spans="4:16" x14ac:dyDescent="0.45">
      <c r="D66" s="4">
        <v>1.7</v>
      </c>
      <c r="E66">
        <f t="shared" si="2"/>
        <v>0.1</v>
      </c>
      <c r="F66" s="17" t="s">
        <v>69</v>
      </c>
      <c r="H66">
        <v>0.1</v>
      </c>
      <c r="L66">
        <v>1.7</v>
      </c>
    </row>
    <row r="67" spans="4:16" x14ac:dyDescent="0.45">
      <c r="D67" s="4">
        <v>1.8</v>
      </c>
      <c r="E67">
        <f t="shared" si="2"/>
        <v>0.1</v>
      </c>
      <c r="F67" s="17" t="s">
        <v>69</v>
      </c>
      <c r="H67">
        <v>0.1</v>
      </c>
      <c r="L67">
        <v>1.8</v>
      </c>
    </row>
    <row r="68" spans="4:16" x14ac:dyDescent="0.45">
      <c r="D68" s="4">
        <v>1.9</v>
      </c>
      <c r="E68">
        <f t="shared" si="2"/>
        <v>0.1</v>
      </c>
      <c r="F68" s="17" t="s">
        <v>69</v>
      </c>
      <c r="H68">
        <v>0.1</v>
      </c>
      <c r="L68">
        <v>1.9</v>
      </c>
    </row>
    <row r="69" spans="4:16" x14ac:dyDescent="0.45">
      <c r="D69" s="4">
        <v>2</v>
      </c>
      <c r="E69">
        <f t="shared" si="2"/>
        <v>0.1</v>
      </c>
      <c r="F69" s="17" t="s">
        <v>69</v>
      </c>
      <c r="H69">
        <v>0.1</v>
      </c>
      <c r="L69">
        <v>2</v>
      </c>
    </row>
    <row r="70" spans="4:16" x14ac:dyDescent="0.45">
      <c r="D70" s="4">
        <v>4</v>
      </c>
      <c r="E70">
        <f t="shared" si="2"/>
        <v>0.1</v>
      </c>
      <c r="F70" s="17" t="s">
        <v>65</v>
      </c>
      <c r="H70">
        <v>0.1</v>
      </c>
      <c r="M70">
        <v>4</v>
      </c>
    </row>
    <row r="71" spans="4:16" x14ac:dyDescent="0.45">
      <c r="D71" s="4">
        <v>6</v>
      </c>
      <c r="E71">
        <f t="shared" si="2"/>
        <v>0.1</v>
      </c>
      <c r="F71" s="17" t="s">
        <v>65</v>
      </c>
      <c r="H71">
        <v>0.1</v>
      </c>
      <c r="M71">
        <v>6</v>
      </c>
    </row>
    <row r="72" spans="4:16" x14ac:dyDescent="0.45">
      <c r="D72" s="4">
        <v>8</v>
      </c>
      <c r="E72">
        <f t="shared" si="2"/>
        <v>0.1</v>
      </c>
      <c r="F72" s="17" t="s">
        <v>66</v>
      </c>
      <c r="H72">
        <v>0.1</v>
      </c>
      <c r="N72">
        <v>8</v>
      </c>
    </row>
    <row r="73" spans="4:16" x14ac:dyDescent="0.45">
      <c r="D73" s="4">
        <v>10</v>
      </c>
      <c r="E73">
        <f t="shared" si="2"/>
        <v>0.1</v>
      </c>
      <c r="F73" s="17" t="s">
        <v>66</v>
      </c>
      <c r="H73">
        <v>0.1</v>
      </c>
      <c r="N73">
        <v>10</v>
      </c>
    </row>
    <row r="74" spans="4:16" x14ac:dyDescent="0.45">
      <c r="D74" s="4">
        <v>20</v>
      </c>
      <c r="E74">
        <f t="shared" si="2"/>
        <v>0.1</v>
      </c>
      <c r="F74" s="17" t="s">
        <v>66</v>
      </c>
      <c r="H74">
        <v>0.1</v>
      </c>
      <c r="N74">
        <v>20</v>
      </c>
    </row>
    <row r="75" spans="4:16" x14ac:dyDescent="0.45">
      <c r="D75" s="4">
        <v>40</v>
      </c>
      <c r="E75">
        <f t="shared" si="2"/>
        <v>0.1</v>
      </c>
      <c r="F75" s="17" t="s">
        <v>66</v>
      </c>
      <c r="H75">
        <v>0.1</v>
      </c>
      <c r="N75">
        <v>40</v>
      </c>
    </row>
    <row r="76" spans="4:16" x14ac:dyDescent="0.45">
      <c r="D76" s="4">
        <v>60</v>
      </c>
      <c r="E76">
        <f t="shared" si="2"/>
        <v>0.1</v>
      </c>
      <c r="F76" s="17" t="s">
        <v>66</v>
      </c>
      <c r="H76">
        <v>0.1</v>
      </c>
      <c r="N76">
        <v>60</v>
      </c>
    </row>
    <row r="77" spans="4:16" x14ac:dyDescent="0.45">
      <c r="D77" s="4">
        <v>80</v>
      </c>
      <c r="E77">
        <f t="shared" si="2"/>
        <v>0.1</v>
      </c>
      <c r="F77" s="17" t="s">
        <v>67</v>
      </c>
      <c r="H77">
        <v>0.1</v>
      </c>
      <c r="O77">
        <v>80</v>
      </c>
    </row>
    <row r="78" spans="4:16" x14ac:dyDescent="0.45">
      <c r="D78" s="4">
        <v>100</v>
      </c>
      <c r="E78">
        <f t="shared" si="2"/>
        <v>0.1</v>
      </c>
      <c r="F78" s="17" t="s">
        <v>67</v>
      </c>
      <c r="H78">
        <v>0.1</v>
      </c>
      <c r="O78">
        <v>100</v>
      </c>
    </row>
    <row r="79" spans="4:16" x14ac:dyDescent="0.45">
      <c r="D79" s="4">
        <v>200</v>
      </c>
      <c r="E79">
        <f t="shared" si="2"/>
        <v>0.1</v>
      </c>
      <c r="F79" s="17" t="s">
        <v>67</v>
      </c>
      <c r="H79">
        <v>0.1</v>
      </c>
      <c r="O79">
        <v>200</v>
      </c>
    </row>
    <row r="80" spans="4:16" x14ac:dyDescent="0.45">
      <c r="D80" s="4">
        <v>400</v>
      </c>
      <c r="E80">
        <f t="shared" si="2"/>
        <v>0.1</v>
      </c>
      <c r="F80" s="17" t="s">
        <v>68</v>
      </c>
      <c r="H80">
        <v>0.1</v>
      </c>
      <c r="P80">
        <v>400</v>
      </c>
    </row>
  </sheetData>
  <mergeCells count="1">
    <mergeCell ref="D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DC54-A25F-4D55-92C3-35D73E800087}">
  <dimension ref="A1:N91"/>
  <sheetViews>
    <sheetView topLeftCell="A51" workbookViewId="0">
      <selection activeCell="F59" sqref="F59"/>
    </sheetView>
  </sheetViews>
  <sheetFormatPr defaultRowHeight="14.25" x14ac:dyDescent="0.45"/>
  <cols>
    <col min="2" max="2" width="16" customWidth="1"/>
    <col min="3" max="3" width="20.1328125" customWidth="1"/>
    <col min="4" max="4" width="9" customWidth="1"/>
    <col min="5" max="5" width="10.73046875" customWidth="1"/>
    <col min="6" max="6" width="10.265625" customWidth="1"/>
    <col min="7" max="7" width="10.59765625" customWidth="1"/>
    <col min="9" max="9" width="9.265625" customWidth="1"/>
  </cols>
  <sheetData>
    <row r="1" spans="1:14" x14ac:dyDescent="0.45">
      <c r="A1" t="s">
        <v>47</v>
      </c>
      <c r="B1" t="s">
        <v>48</v>
      </c>
      <c r="D1" s="25" t="s">
        <v>49</v>
      </c>
      <c r="E1" s="25"/>
      <c r="F1" s="25"/>
    </row>
    <row r="2" spans="1:14" x14ac:dyDescent="0.45">
      <c r="A2" t="s">
        <v>64</v>
      </c>
      <c r="B2" t="s">
        <v>63</v>
      </c>
      <c r="D2" s="10" t="s">
        <v>1</v>
      </c>
      <c r="E2" s="9" t="s">
        <v>2</v>
      </c>
      <c r="F2" t="s">
        <v>48</v>
      </c>
      <c r="H2" t="s">
        <v>2</v>
      </c>
      <c r="I2" t="s">
        <v>63</v>
      </c>
      <c r="J2" t="s">
        <v>62</v>
      </c>
      <c r="K2" t="s">
        <v>61</v>
      </c>
      <c r="L2" t="s">
        <v>60</v>
      </c>
      <c r="M2" t="s">
        <v>59</v>
      </c>
      <c r="N2" t="s">
        <v>43</v>
      </c>
    </row>
    <row r="3" spans="1:14" x14ac:dyDescent="0.45">
      <c r="A3" t="s">
        <v>52</v>
      </c>
      <c r="B3" t="s">
        <v>62</v>
      </c>
      <c r="D3" s="4">
        <v>0.2</v>
      </c>
      <c r="E3">
        <f>10^-3</f>
        <v>1E-3</v>
      </c>
      <c r="F3" s="17">
        <v>5</v>
      </c>
      <c r="H3">
        <v>1E-3</v>
      </c>
      <c r="I3">
        <v>0.2</v>
      </c>
    </row>
    <row r="4" spans="1:14" x14ac:dyDescent="0.45">
      <c r="A4" t="s">
        <v>53</v>
      </c>
      <c r="B4" t="s">
        <v>61</v>
      </c>
      <c r="D4" s="4">
        <v>0.4</v>
      </c>
      <c r="E4">
        <f>10^-3</f>
        <v>1E-3</v>
      </c>
      <c r="F4" s="17">
        <v>1</v>
      </c>
      <c r="H4">
        <v>1E-3</v>
      </c>
      <c r="J4">
        <v>0.4</v>
      </c>
    </row>
    <row r="5" spans="1:14" x14ac:dyDescent="0.45">
      <c r="A5" t="s">
        <v>54</v>
      </c>
      <c r="B5" t="s">
        <v>60</v>
      </c>
      <c r="D5" s="4">
        <v>0.6</v>
      </c>
      <c r="E5">
        <f t="shared" ref="E5:E28" si="0">10^-3</f>
        <v>1E-3</v>
      </c>
      <c r="F5" s="17">
        <v>1</v>
      </c>
      <c r="H5">
        <v>1E-3</v>
      </c>
      <c r="J5">
        <v>0.6</v>
      </c>
    </row>
    <row r="6" spans="1:14" x14ac:dyDescent="0.45">
      <c r="A6" t="s">
        <v>55</v>
      </c>
      <c r="B6" t="s">
        <v>59</v>
      </c>
      <c r="D6" s="4">
        <v>0.8</v>
      </c>
      <c r="E6">
        <f t="shared" si="0"/>
        <v>1E-3</v>
      </c>
      <c r="F6" s="17">
        <v>2</v>
      </c>
      <c r="H6">
        <v>1E-3</v>
      </c>
      <c r="K6">
        <v>0.8</v>
      </c>
    </row>
    <row r="7" spans="1:14" x14ac:dyDescent="0.45">
      <c r="A7" t="s">
        <v>56</v>
      </c>
      <c r="B7" t="s">
        <v>70</v>
      </c>
      <c r="D7" s="4">
        <v>1</v>
      </c>
      <c r="E7">
        <f t="shared" si="0"/>
        <v>1E-3</v>
      </c>
      <c r="F7" s="17">
        <v>2</v>
      </c>
      <c r="H7">
        <v>1E-3</v>
      </c>
      <c r="K7">
        <v>1</v>
      </c>
    </row>
    <row r="8" spans="1:14" x14ac:dyDescent="0.45">
      <c r="D8" s="4">
        <v>1.1000000000000001</v>
      </c>
      <c r="E8">
        <f t="shared" si="0"/>
        <v>1E-3</v>
      </c>
      <c r="F8" s="17">
        <v>2</v>
      </c>
      <c r="H8">
        <v>1E-3</v>
      </c>
      <c r="K8">
        <v>1.1000000000000001</v>
      </c>
    </row>
    <row r="9" spans="1:14" x14ac:dyDescent="0.45">
      <c r="D9" s="4">
        <v>1.2</v>
      </c>
      <c r="E9">
        <f t="shared" si="0"/>
        <v>1E-3</v>
      </c>
      <c r="F9" s="17">
        <v>2</v>
      </c>
      <c r="H9">
        <v>1E-3</v>
      </c>
      <c r="K9">
        <v>1.2</v>
      </c>
    </row>
    <row r="10" spans="1:14" x14ac:dyDescent="0.45">
      <c r="D10" s="4">
        <v>1.3</v>
      </c>
      <c r="E10">
        <f t="shared" si="0"/>
        <v>1E-3</v>
      </c>
      <c r="F10" s="17" t="s">
        <v>69</v>
      </c>
      <c r="H10">
        <v>1E-3</v>
      </c>
      <c r="L10">
        <v>1.3</v>
      </c>
    </row>
    <row r="11" spans="1:14" x14ac:dyDescent="0.45">
      <c r="D11" s="4">
        <v>1.4</v>
      </c>
      <c r="E11">
        <f t="shared" si="0"/>
        <v>1E-3</v>
      </c>
      <c r="F11" s="17" t="s">
        <v>69</v>
      </c>
      <c r="H11">
        <v>1E-3</v>
      </c>
      <c r="L11">
        <v>1.4</v>
      </c>
    </row>
    <row r="12" spans="1:14" x14ac:dyDescent="0.45">
      <c r="D12" s="4">
        <v>1.5</v>
      </c>
      <c r="E12">
        <f t="shared" si="0"/>
        <v>1E-3</v>
      </c>
      <c r="F12" s="17" t="s">
        <v>69</v>
      </c>
      <c r="H12">
        <v>1E-3</v>
      </c>
      <c r="L12">
        <v>1.5</v>
      </c>
    </row>
    <row r="13" spans="1:14" x14ac:dyDescent="0.45">
      <c r="D13" s="4">
        <v>1.6</v>
      </c>
      <c r="E13">
        <f t="shared" si="0"/>
        <v>1E-3</v>
      </c>
      <c r="F13" s="17" t="s">
        <v>65</v>
      </c>
      <c r="H13">
        <v>1E-3</v>
      </c>
      <c r="M13">
        <v>1.6</v>
      </c>
    </row>
    <row r="14" spans="1:14" x14ac:dyDescent="0.45">
      <c r="D14" s="4">
        <v>1.7</v>
      </c>
      <c r="E14">
        <f t="shared" si="0"/>
        <v>1E-3</v>
      </c>
      <c r="F14" s="17" t="s">
        <v>65</v>
      </c>
      <c r="H14">
        <v>1E-3</v>
      </c>
      <c r="M14">
        <v>1.7</v>
      </c>
    </row>
    <row r="15" spans="1:14" x14ac:dyDescent="0.45">
      <c r="D15" s="4">
        <v>1.8</v>
      </c>
      <c r="E15">
        <f t="shared" si="0"/>
        <v>1E-3</v>
      </c>
      <c r="F15" s="17" t="s">
        <v>65</v>
      </c>
      <c r="H15">
        <v>1E-3</v>
      </c>
      <c r="M15">
        <v>1.8</v>
      </c>
    </row>
    <row r="16" spans="1:14" x14ac:dyDescent="0.45">
      <c r="D16" s="4">
        <v>1.9</v>
      </c>
      <c r="E16">
        <f t="shared" si="0"/>
        <v>1E-3</v>
      </c>
      <c r="F16" s="17" t="s">
        <v>65</v>
      </c>
      <c r="H16">
        <v>1E-3</v>
      </c>
      <c r="M16">
        <v>1.9</v>
      </c>
    </row>
    <row r="17" spans="4:14" x14ac:dyDescent="0.45">
      <c r="D17" s="4">
        <v>2</v>
      </c>
      <c r="E17">
        <f t="shared" si="0"/>
        <v>1E-3</v>
      </c>
      <c r="F17" s="17" t="s">
        <v>65</v>
      </c>
      <c r="H17">
        <v>1E-3</v>
      </c>
      <c r="M17">
        <v>2</v>
      </c>
    </row>
    <row r="18" spans="4:14" x14ac:dyDescent="0.45">
      <c r="D18" s="4">
        <v>4</v>
      </c>
      <c r="E18">
        <f t="shared" si="0"/>
        <v>1E-3</v>
      </c>
      <c r="F18" s="17" t="s">
        <v>65</v>
      </c>
      <c r="H18">
        <v>1E-3</v>
      </c>
      <c r="M18">
        <v>4</v>
      </c>
    </row>
    <row r="19" spans="4:14" x14ac:dyDescent="0.45">
      <c r="D19" s="4">
        <v>6</v>
      </c>
      <c r="E19">
        <f t="shared" si="0"/>
        <v>1E-3</v>
      </c>
      <c r="F19" s="17" t="s">
        <v>66</v>
      </c>
      <c r="H19">
        <v>1E-3</v>
      </c>
      <c r="N19">
        <v>6</v>
      </c>
    </row>
    <row r="20" spans="4:14" x14ac:dyDescent="0.45">
      <c r="D20" s="4">
        <v>8</v>
      </c>
      <c r="E20">
        <f t="shared" si="0"/>
        <v>1E-3</v>
      </c>
      <c r="F20" s="17" t="s">
        <v>66</v>
      </c>
      <c r="H20">
        <v>1E-3</v>
      </c>
      <c r="N20">
        <v>8</v>
      </c>
    </row>
    <row r="21" spans="4:14" x14ac:dyDescent="0.45">
      <c r="D21" s="4">
        <v>10</v>
      </c>
      <c r="E21">
        <f t="shared" si="0"/>
        <v>1E-3</v>
      </c>
      <c r="F21" s="17" t="s">
        <v>66</v>
      </c>
      <c r="H21">
        <v>1E-3</v>
      </c>
      <c r="N21">
        <v>10</v>
      </c>
    </row>
    <row r="22" spans="4:14" x14ac:dyDescent="0.45">
      <c r="D22" s="4">
        <v>20</v>
      </c>
      <c r="E22">
        <f t="shared" si="0"/>
        <v>1E-3</v>
      </c>
      <c r="F22" s="17" t="s">
        <v>66</v>
      </c>
      <c r="H22">
        <v>1E-3</v>
      </c>
      <c r="N22">
        <v>20</v>
      </c>
    </row>
    <row r="23" spans="4:14" x14ac:dyDescent="0.45">
      <c r="D23" s="4">
        <v>40</v>
      </c>
      <c r="E23">
        <f t="shared" si="0"/>
        <v>1E-3</v>
      </c>
      <c r="F23" s="17" t="s">
        <v>66</v>
      </c>
      <c r="H23">
        <v>1E-3</v>
      </c>
      <c r="N23">
        <v>40</v>
      </c>
    </row>
    <row r="24" spans="4:14" x14ac:dyDescent="0.45">
      <c r="D24" s="4">
        <v>60</v>
      </c>
      <c r="E24">
        <f t="shared" si="0"/>
        <v>1E-3</v>
      </c>
      <c r="F24" s="17" t="s">
        <v>66</v>
      </c>
      <c r="H24">
        <v>1E-3</v>
      </c>
      <c r="N24">
        <v>60</v>
      </c>
    </row>
    <row r="25" spans="4:14" x14ac:dyDescent="0.45">
      <c r="D25" s="4">
        <v>80</v>
      </c>
      <c r="E25">
        <f t="shared" si="0"/>
        <v>1E-3</v>
      </c>
      <c r="F25" s="17" t="s">
        <v>66</v>
      </c>
      <c r="H25">
        <v>1E-3</v>
      </c>
      <c r="N25">
        <v>80</v>
      </c>
    </row>
    <row r="26" spans="4:14" x14ac:dyDescent="0.45">
      <c r="D26" s="4">
        <v>100</v>
      </c>
      <c r="E26">
        <f t="shared" si="0"/>
        <v>1E-3</v>
      </c>
      <c r="F26" s="17" t="s">
        <v>66</v>
      </c>
      <c r="H26">
        <v>1E-3</v>
      </c>
      <c r="N26">
        <v>100</v>
      </c>
    </row>
    <row r="27" spans="4:14" x14ac:dyDescent="0.45">
      <c r="D27" s="4">
        <v>200</v>
      </c>
      <c r="E27">
        <f t="shared" si="0"/>
        <v>1E-3</v>
      </c>
      <c r="F27" s="17" t="s">
        <v>66</v>
      </c>
      <c r="H27">
        <v>1E-3</v>
      </c>
      <c r="N27">
        <v>200</v>
      </c>
    </row>
    <row r="28" spans="4:14" x14ac:dyDescent="0.45">
      <c r="D28" s="4">
        <v>400</v>
      </c>
      <c r="E28">
        <f t="shared" si="0"/>
        <v>1E-3</v>
      </c>
      <c r="F28" s="17" t="s">
        <v>66</v>
      </c>
      <c r="H28">
        <v>1E-3</v>
      </c>
      <c r="N28">
        <v>400</v>
      </c>
    </row>
    <row r="29" spans="4:14" x14ac:dyDescent="0.45">
      <c r="D29" s="4">
        <v>0.2</v>
      </c>
      <c r="E29">
        <f>10^-3</f>
        <v>1E-3</v>
      </c>
      <c r="F29" s="17">
        <v>5</v>
      </c>
      <c r="H29">
        <v>0.01</v>
      </c>
      <c r="I29">
        <v>0.2</v>
      </c>
    </row>
    <row r="30" spans="4:14" x14ac:dyDescent="0.45">
      <c r="D30" s="4">
        <v>0.4</v>
      </c>
      <c r="E30">
        <f>10^-2</f>
        <v>0.01</v>
      </c>
      <c r="F30" s="17">
        <v>1</v>
      </c>
      <c r="H30">
        <v>0.01</v>
      </c>
      <c r="J30">
        <v>0.4</v>
      </c>
    </row>
    <row r="31" spans="4:14" x14ac:dyDescent="0.45">
      <c r="D31" s="4">
        <v>0.6</v>
      </c>
      <c r="E31">
        <f t="shared" ref="E31:E54" si="1">10^-2</f>
        <v>0.01</v>
      </c>
      <c r="F31" s="17">
        <v>1</v>
      </c>
      <c r="H31">
        <v>0.01</v>
      </c>
      <c r="J31">
        <v>0.6</v>
      </c>
    </row>
    <row r="32" spans="4:14" x14ac:dyDescent="0.45">
      <c r="D32" s="4">
        <v>0.8</v>
      </c>
      <c r="E32">
        <f t="shared" si="1"/>
        <v>0.01</v>
      </c>
      <c r="F32" s="17">
        <v>2</v>
      </c>
      <c r="H32">
        <v>0.01</v>
      </c>
      <c r="K32">
        <v>0.8</v>
      </c>
    </row>
    <row r="33" spans="4:14" x14ac:dyDescent="0.45">
      <c r="D33" s="4">
        <v>1</v>
      </c>
      <c r="E33">
        <f t="shared" si="1"/>
        <v>0.01</v>
      </c>
      <c r="F33" s="17">
        <v>2</v>
      </c>
      <c r="H33">
        <v>0.01</v>
      </c>
      <c r="K33">
        <v>1</v>
      </c>
    </row>
    <row r="34" spans="4:14" x14ac:dyDescent="0.45">
      <c r="D34" s="4">
        <v>1.1000000000000001</v>
      </c>
      <c r="E34">
        <f t="shared" si="1"/>
        <v>0.01</v>
      </c>
      <c r="F34" s="17">
        <v>2</v>
      </c>
      <c r="H34">
        <v>0.01</v>
      </c>
      <c r="K34">
        <v>1.1000000000000001</v>
      </c>
    </row>
    <row r="35" spans="4:14" x14ac:dyDescent="0.45">
      <c r="D35" s="4">
        <v>1.2</v>
      </c>
      <c r="E35">
        <f t="shared" si="1"/>
        <v>0.01</v>
      </c>
      <c r="F35" s="17">
        <v>2</v>
      </c>
      <c r="H35">
        <v>0.01</v>
      </c>
      <c r="K35">
        <v>1.2</v>
      </c>
    </row>
    <row r="36" spans="4:14" x14ac:dyDescent="0.45">
      <c r="D36" s="4">
        <v>1.3</v>
      </c>
      <c r="E36">
        <f t="shared" si="1"/>
        <v>0.01</v>
      </c>
      <c r="F36" s="17" t="s">
        <v>69</v>
      </c>
      <c r="H36">
        <v>0.01</v>
      </c>
      <c r="L36">
        <v>1.3</v>
      </c>
    </row>
    <row r="37" spans="4:14" x14ac:dyDescent="0.45">
      <c r="D37" s="4">
        <v>1.4</v>
      </c>
      <c r="E37">
        <f t="shared" si="1"/>
        <v>0.01</v>
      </c>
      <c r="F37" s="17" t="s">
        <v>69</v>
      </c>
      <c r="H37">
        <v>0.01</v>
      </c>
      <c r="L37">
        <v>1.4</v>
      </c>
    </row>
    <row r="38" spans="4:14" x14ac:dyDescent="0.45">
      <c r="D38" s="4">
        <v>1.5</v>
      </c>
      <c r="E38">
        <f t="shared" si="1"/>
        <v>0.01</v>
      </c>
      <c r="F38" s="17" t="s">
        <v>69</v>
      </c>
      <c r="H38">
        <v>0.01</v>
      </c>
      <c r="L38">
        <v>1.5</v>
      </c>
    </row>
    <row r="39" spans="4:14" x14ac:dyDescent="0.45">
      <c r="D39" s="4">
        <v>1.6</v>
      </c>
      <c r="E39">
        <f t="shared" si="1"/>
        <v>0.01</v>
      </c>
      <c r="F39" s="17" t="s">
        <v>65</v>
      </c>
      <c r="H39">
        <v>0.01</v>
      </c>
      <c r="M39">
        <v>1.6</v>
      </c>
    </row>
    <row r="40" spans="4:14" x14ac:dyDescent="0.45">
      <c r="D40" s="4">
        <v>1.7</v>
      </c>
      <c r="E40">
        <f t="shared" si="1"/>
        <v>0.01</v>
      </c>
      <c r="F40" s="17" t="s">
        <v>65</v>
      </c>
      <c r="H40">
        <v>0.01</v>
      </c>
      <c r="M40">
        <v>1.7</v>
      </c>
    </row>
    <row r="41" spans="4:14" x14ac:dyDescent="0.45">
      <c r="D41" s="4">
        <v>1.8</v>
      </c>
      <c r="E41">
        <f t="shared" si="1"/>
        <v>0.01</v>
      </c>
      <c r="F41" s="17" t="s">
        <v>65</v>
      </c>
      <c r="H41">
        <v>0.01</v>
      </c>
      <c r="M41">
        <v>1.8</v>
      </c>
    </row>
    <row r="42" spans="4:14" x14ac:dyDescent="0.45">
      <c r="D42" s="4">
        <v>1.9</v>
      </c>
      <c r="E42">
        <f t="shared" si="1"/>
        <v>0.01</v>
      </c>
      <c r="F42" s="17" t="s">
        <v>65</v>
      </c>
      <c r="H42">
        <v>0.01</v>
      </c>
      <c r="M42">
        <v>1.9</v>
      </c>
    </row>
    <row r="43" spans="4:14" x14ac:dyDescent="0.45">
      <c r="D43" s="4">
        <v>2</v>
      </c>
      <c r="E43">
        <f t="shared" si="1"/>
        <v>0.01</v>
      </c>
      <c r="F43" s="17" t="s">
        <v>65</v>
      </c>
      <c r="H43">
        <v>0.01</v>
      </c>
      <c r="M43">
        <v>2</v>
      </c>
    </row>
    <row r="44" spans="4:14" x14ac:dyDescent="0.45">
      <c r="D44" s="4">
        <v>4</v>
      </c>
      <c r="E44">
        <f t="shared" si="1"/>
        <v>0.01</v>
      </c>
      <c r="F44" s="17" t="s">
        <v>65</v>
      </c>
      <c r="H44">
        <v>0.01</v>
      </c>
      <c r="M44">
        <v>4</v>
      </c>
    </row>
    <row r="45" spans="4:14" x14ac:dyDescent="0.45">
      <c r="D45" s="4">
        <v>6</v>
      </c>
      <c r="E45">
        <f t="shared" si="1"/>
        <v>0.01</v>
      </c>
      <c r="F45" s="17" t="s">
        <v>66</v>
      </c>
      <c r="H45">
        <v>0.01</v>
      </c>
      <c r="N45">
        <v>6</v>
      </c>
    </row>
    <row r="46" spans="4:14" x14ac:dyDescent="0.45">
      <c r="D46" s="4">
        <v>8</v>
      </c>
      <c r="E46">
        <f t="shared" si="1"/>
        <v>0.01</v>
      </c>
      <c r="F46" s="17" t="s">
        <v>66</v>
      </c>
      <c r="H46">
        <v>0.01</v>
      </c>
      <c r="N46">
        <v>8</v>
      </c>
    </row>
    <row r="47" spans="4:14" x14ac:dyDescent="0.45">
      <c r="D47" s="4">
        <v>10</v>
      </c>
      <c r="E47">
        <f t="shared" si="1"/>
        <v>0.01</v>
      </c>
      <c r="F47" s="17" t="s">
        <v>66</v>
      </c>
      <c r="H47">
        <v>0.01</v>
      </c>
      <c r="N47">
        <v>10</v>
      </c>
    </row>
    <row r="48" spans="4:14" x14ac:dyDescent="0.45">
      <c r="D48" s="4">
        <v>20</v>
      </c>
      <c r="E48">
        <f t="shared" si="1"/>
        <v>0.01</v>
      </c>
      <c r="F48" s="17" t="s">
        <v>66</v>
      </c>
      <c r="H48">
        <v>0.01</v>
      </c>
      <c r="N48">
        <v>20</v>
      </c>
    </row>
    <row r="49" spans="4:14" x14ac:dyDescent="0.45">
      <c r="D49" s="4">
        <v>40</v>
      </c>
      <c r="E49">
        <f t="shared" si="1"/>
        <v>0.01</v>
      </c>
      <c r="F49" s="17" t="s">
        <v>66</v>
      </c>
      <c r="H49">
        <v>0.01</v>
      </c>
      <c r="N49">
        <v>40</v>
      </c>
    </row>
    <row r="50" spans="4:14" x14ac:dyDescent="0.45">
      <c r="D50" s="4">
        <v>60</v>
      </c>
      <c r="E50">
        <f t="shared" si="1"/>
        <v>0.01</v>
      </c>
      <c r="F50" s="17" t="s">
        <v>66</v>
      </c>
      <c r="H50">
        <v>0.01</v>
      </c>
      <c r="N50">
        <v>60</v>
      </c>
    </row>
    <row r="51" spans="4:14" x14ac:dyDescent="0.45">
      <c r="D51" s="4">
        <v>80</v>
      </c>
      <c r="E51">
        <f t="shared" si="1"/>
        <v>0.01</v>
      </c>
      <c r="F51" s="17" t="s">
        <v>66</v>
      </c>
      <c r="H51">
        <v>0.01</v>
      </c>
      <c r="N51">
        <v>80</v>
      </c>
    </row>
    <row r="52" spans="4:14" x14ac:dyDescent="0.45">
      <c r="D52" s="4">
        <v>100</v>
      </c>
      <c r="E52">
        <f t="shared" si="1"/>
        <v>0.01</v>
      </c>
      <c r="F52" s="17" t="s">
        <v>66</v>
      </c>
      <c r="H52">
        <v>0.01</v>
      </c>
      <c r="N52">
        <v>100</v>
      </c>
    </row>
    <row r="53" spans="4:14" x14ac:dyDescent="0.45">
      <c r="D53" s="4">
        <v>200</v>
      </c>
      <c r="E53">
        <f t="shared" si="1"/>
        <v>0.01</v>
      </c>
      <c r="F53" s="17" t="s">
        <v>66</v>
      </c>
      <c r="H53">
        <v>0.01</v>
      </c>
      <c r="N53">
        <v>200</v>
      </c>
    </row>
    <row r="54" spans="4:14" x14ac:dyDescent="0.45">
      <c r="D54" s="4">
        <v>400</v>
      </c>
      <c r="E54">
        <f t="shared" si="1"/>
        <v>0.01</v>
      </c>
      <c r="F54" s="17" t="s">
        <v>66</v>
      </c>
      <c r="H54">
        <v>0.01</v>
      </c>
      <c r="N54">
        <v>400</v>
      </c>
    </row>
    <row r="55" spans="4:14" x14ac:dyDescent="0.45">
      <c r="D55" s="4">
        <v>0.2</v>
      </c>
      <c r="E55">
        <v>0.1</v>
      </c>
      <c r="F55" s="17">
        <v>5</v>
      </c>
      <c r="H55">
        <v>0.1</v>
      </c>
      <c r="I55">
        <v>0.2</v>
      </c>
    </row>
    <row r="56" spans="4:14" x14ac:dyDescent="0.45">
      <c r="D56" s="4">
        <v>0.4</v>
      </c>
      <c r="E56">
        <f>10^-1</f>
        <v>0.1</v>
      </c>
      <c r="F56" s="17">
        <v>1</v>
      </c>
      <c r="H56">
        <v>0.1</v>
      </c>
      <c r="J56">
        <v>0.4</v>
      </c>
    </row>
    <row r="57" spans="4:14" x14ac:dyDescent="0.45">
      <c r="D57" s="4">
        <v>0.6</v>
      </c>
      <c r="E57">
        <f t="shared" ref="E57:E80" si="2">10^-1</f>
        <v>0.1</v>
      </c>
      <c r="F57" s="17">
        <v>1</v>
      </c>
      <c r="H57">
        <v>0.1</v>
      </c>
      <c r="J57">
        <v>0.6</v>
      </c>
    </row>
    <row r="58" spans="4:14" x14ac:dyDescent="0.45">
      <c r="D58" s="4">
        <v>0.8</v>
      </c>
      <c r="E58">
        <f t="shared" si="2"/>
        <v>0.1</v>
      </c>
      <c r="F58" s="17">
        <v>2</v>
      </c>
      <c r="H58">
        <v>0.1</v>
      </c>
      <c r="K58">
        <v>0.8</v>
      </c>
    </row>
    <row r="59" spans="4:14" x14ac:dyDescent="0.45">
      <c r="D59" s="4">
        <v>1</v>
      </c>
      <c r="E59">
        <f t="shared" si="2"/>
        <v>0.1</v>
      </c>
      <c r="F59" s="17">
        <v>2</v>
      </c>
      <c r="H59">
        <v>0.1</v>
      </c>
      <c r="K59">
        <v>1</v>
      </c>
    </row>
    <row r="60" spans="4:14" x14ac:dyDescent="0.45">
      <c r="D60" s="4">
        <v>1.1000000000000001</v>
      </c>
      <c r="E60">
        <f t="shared" si="2"/>
        <v>0.1</v>
      </c>
      <c r="F60" s="17">
        <v>2</v>
      </c>
      <c r="H60">
        <v>0.1</v>
      </c>
      <c r="K60">
        <v>1.1000000000000001</v>
      </c>
    </row>
    <row r="61" spans="4:14" x14ac:dyDescent="0.45">
      <c r="D61" s="4">
        <v>1.2</v>
      </c>
      <c r="E61">
        <f t="shared" si="2"/>
        <v>0.1</v>
      </c>
      <c r="F61" s="17">
        <v>2</v>
      </c>
      <c r="H61">
        <v>0.1</v>
      </c>
      <c r="K61">
        <v>1.2</v>
      </c>
    </row>
    <row r="62" spans="4:14" x14ac:dyDescent="0.45">
      <c r="D62" s="4">
        <v>1.3</v>
      </c>
      <c r="E62">
        <f t="shared" si="2"/>
        <v>0.1</v>
      </c>
      <c r="F62" s="17">
        <v>2</v>
      </c>
      <c r="H62">
        <v>0.1</v>
      </c>
      <c r="K62">
        <v>1.3</v>
      </c>
    </row>
    <row r="63" spans="4:14" x14ac:dyDescent="0.45">
      <c r="D63" s="4">
        <v>1.4</v>
      </c>
      <c r="E63">
        <f t="shared" si="2"/>
        <v>0.1</v>
      </c>
      <c r="F63" s="17" t="s">
        <v>69</v>
      </c>
      <c r="H63">
        <v>0.1</v>
      </c>
      <c r="L63">
        <v>1.4</v>
      </c>
    </row>
    <row r="64" spans="4:14" x14ac:dyDescent="0.45">
      <c r="D64" s="4">
        <v>1.5</v>
      </c>
      <c r="E64">
        <f t="shared" si="2"/>
        <v>0.1</v>
      </c>
      <c r="F64" s="17" t="s">
        <v>69</v>
      </c>
      <c r="H64">
        <v>0.1</v>
      </c>
      <c r="L64">
        <v>1.5</v>
      </c>
    </row>
    <row r="65" spans="4:14" x14ac:dyDescent="0.45">
      <c r="D65" s="4">
        <v>1.6</v>
      </c>
      <c r="E65">
        <f t="shared" si="2"/>
        <v>0.1</v>
      </c>
      <c r="F65" s="17" t="s">
        <v>69</v>
      </c>
      <c r="H65">
        <v>0.1</v>
      </c>
      <c r="L65">
        <v>1.6</v>
      </c>
    </row>
    <row r="66" spans="4:14" x14ac:dyDescent="0.45">
      <c r="D66" s="4">
        <v>1.7</v>
      </c>
      <c r="E66">
        <f t="shared" si="2"/>
        <v>0.1</v>
      </c>
      <c r="F66" s="17" t="s">
        <v>69</v>
      </c>
      <c r="H66">
        <v>0.1</v>
      </c>
      <c r="L66">
        <v>1.7</v>
      </c>
    </row>
    <row r="67" spans="4:14" x14ac:dyDescent="0.45">
      <c r="D67" s="4">
        <v>1.8</v>
      </c>
      <c r="E67">
        <f t="shared" si="2"/>
        <v>0.1</v>
      </c>
      <c r="F67" s="17" t="s">
        <v>69</v>
      </c>
      <c r="H67">
        <v>0.1</v>
      </c>
      <c r="L67">
        <v>1.8</v>
      </c>
    </row>
    <row r="68" spans="4:14" x14ac:dyDescent="0.45">
      <c r="D68" s="4">
        <v>1.9</v>
      </c>
      <c r="E68">
        <f t="shared" si="2"/>
        <v>0.1</v>
      </c>
      <c r="F68" s="17" t="s">
        <v>69</v>
      </c>
      <c r="H68">
        <v>0.1</v>
      </c>
      <c r="L68">
        <v>1.9</v>
      </c>
    </row>
    <row r="69" spans="4:14" x14ac:dyDescent="0.45">
      <c r="D69" s="4">
        <v>2</v>
      </c>
      <c r="E69">
        <f t="shared" si="2"/>
        <v>0.1</v>
      </c>
      <c r="F69" s="17" t="s">
        <v>69</v>
      </c>
      <c r="H69">
        <v>0.1</v>
      </c>
      <c r="L69">
        <v>2</v>
      </c>
    </row>
    <row r="70" spans="4:14" x14ac:dyDescent="0.45">
      <c r="D70" s="4">
        <v>4</v>
      </c>
      <c r="E70">
        <f t="shared" si="2"/>
        <v>0.1</v>
      </c>
      <c r="F70" s="17" t="s">
        <v>65</v>
      </c>
      <c r="H70">
        <v>0.1</v>
      </c>
      <c r="M70">
        <v>4</v>
      </c>
    </row>
    <row r="71" spans="4:14" x14ac:dyDescent="0.45">
      <c r="D71" s="4">
        <v>6</v>
      </c>
      <c r="E71">
        <f t="shared" si="2"/>
        <v>0.1</v>
      </c>
      <c r="F71" s="17" t="s">
        <v>66</v>
      </c>
      <c r="H71">
        <v>0.1</v>
      </c>
      <c r="N71">
        <v>6</v>
      </c>
    </row>
    <row r="72" spans="4:14" x14ac:dyDescent="0.45">
      <c r="D72" s="4">
        <v>8</v>
      </c>
      <c r="E72">
        <f t="shared" si="2"/>
        <v>0.1</v>
      </c>
      <c r="F72" s="17" t="s">
        <v>66</v>
      </c>
      <c r="H72">
        <v>0.1</v>
      </c>
      <c r="N72">
        <v>8</v>
      </c>
    </row>
    <row r="73" spans="4:14" x14ac:dyDescent="0.45">
      <c r="D73" s="4">
        <v>10</v>
      </c>
      <c r="E73">
        <f t="shared" si="2"/>
        <v>0.1</v>
      </c>
      <c r="F73" s="17" t="s">
        <v>66</v>
      </c>
      <c r="H73">
        <v>0.1</v>
      </c>
      <c r="N73">
        <v>10</v>
      </c>
    </row>
    <row r="74" spans="4:14" x14ac:dyDescent="0.45">
      <c r="D74" s="4">
        <v>20</v>
      </c>
      <c r="E74">
        <f t="shared" si="2"/>
        <v>0.1</v>
      </c>
      <c r="F74" s="17" t="s">
        <v>66</v>
      </c>
      <c r="H74">
        <v>0.1</v>
      </c>
      <c r="N74">
        <v>20</v>
      </c>
    </row>
    <row r="75" spans="4:14" x14ac:dyDescent="0.45">
      <c r="D75" s="4">
        <v>40</v>
      </c>
      <c r="E75">
        <f t="shared" si="2"/>
        <v>0.1</v>
      </c>
      <c r="F75" s="17" t="s">
        <v>66</v>
      </c>
      <c r="H75">
        <v>0.1</v>
      </c>
      <c r="N75">
        <v>40</v>
      </c>
    </row>
    <row r="76" spans="4:14" x14ac:dyDescent="0.45">
      <c r="D76" s="4">
        <v>60</v>
      </c>
      <c r="E76">
        <f t="shared" si="2"/>
        <v>0.1</v>
      </c>
      <c r="F76" s="17" t="s">
        <v>66</v>
      </c>
      <c r="H76">
        <v>0.1</v>
      </c>
      <c r="N76">
        <v>60</v>
      </c>
    </row>
    <row r="77" spans="4:14" x14ac:dyDescent="0.45">
      <c r="D77" s="4">
        <v>80</v>
      </c>
      <c r="E77">
        <f t="shared" si="2"/>
        <v>0.1</v>
      </c>
      <c r="F77" s="17" t="s">
        <v>66</v>
      </c>
      <c r="H77">
        <v>0.1</v>
      </c>
      <c r="N77">
        <v>80</v>
      </c>
    </row>
    <row r="78" spans="4:14" x14ac:dyDescent="0.45">
      <c r="D78" s="4">
        <v>100</v>
      </c>
      <c r="E78">
        <f t="shared" si="2"/>
        <v>0.1</v>
      </c>
      <c r="F78" s="17" t="s">
        <v>66</v>
      </c>
      <c r="H78">
        <v>0.1</v>
      </c>
      <c r="N78">
        <v>100</v>
      </c>
    </row>
    <row r="79" spans="4:14" ht="14.25" customHeight="1" x14ac:dyDescent="0.45">
      <c r="D79" s="4">
        <v>200</v>
      </c>
      <c r="E79">
        <f t="shared" si="2"/>
        <v>0.1</v>
      </c>
      <c r="F79" s="17" t="s">
        <v>66</v>
      </c>
      <c r="H79">
        <v>0.1</v>
      </c>
      <c r="N79">
        <v>200</v>
      </c>
    </row>
    <row r="80" spans="4:14" ht="14.25" customHeight="1" x14ac:dyDescent="0.45">
      <c r="D80" s="4">
        <v>400</v>
      </c>
      <c r="E80">
        <f t="shared" si="2"/>
        <v>0.1</v>
      </c>
      <c r="F80" s="17" t="s">
        <v>66</v>
      </c>
      <c r="H80">
        <v>0.1</v>
      </c>
      <c r="N80">
        <v>400</v>
      </c>
    </row>
    <row r="81" spans="4:6" ht="14.25" customHeight="1" x14ac:dyDescent="0.45">
      <c r="D81" s="18"/>
      <c r="E81" s="18"/>
      <c r="F81" s="18"/>
    </row>
    <row r="82" spans="4:6" ht="14.25" customHeight="1" x14ac:dyDescent="0.45">
      <c r="D82" s="18"/>
      <c r="E82" s="18"/>
      <c r="F82" s="18"/>
    </row>
    <row r="83" spans="4:6" ht="14.25" customHeight="1" x14ac:dyDescent="0.45">
      <c r="D83" s="18"/>
      <c r="E83" s="18"/>
      <c r="F83" s="18"/>
    </row>
    <row r="84" spans="4:6" ht="14.25" customHeight="1" x14ac:dyDescent="0.45">
      <c r="D84" s="18"/>
      <c r="E84" s="18"/>
      <c r="F84" s="18"/>
    </row>
    <row r="85" spans="4:6" ht="14.25" customHeight="1" x14ac:dyDescent="0.45">
      <c r="D85" s="18"/>
      <c r="E85" s="18"/>
      <c r="F85" s="18"/>
    </row>
    <row r="86" spans="4:6" ht="14.25" customHeight="1" x14ac:dyDescent="0.45">
      <c r="D86" s="18"/>
      <c r="E86" s="18"/>
      <c r="F86" s="18"/>
    </row>
    <row r="87" spans="4:6" ht="14.25" customHeight="1" x14ac:dyDescent="0.45">
      <c r="D87" s="18"/>
      <c r="E87" s="18"/>
      <c r="F87" s="18"/>
    </row>
    <row r="88" spans="4:6" ht="14.25" customHeight="1" x14ac:dyDescent="0.45">
      <c r="D88" s="18"/>
      <c r="E88" s="18"/>
      <c r="F88" s="18"/>
    </row>
    <row r="89" spans="4:6" ht="14.25" customHeight="1" x14ac:dyDescent="0.45">
      <c r="D89" s="18"/>
      <c r="E89" s="18"/>
      <c r="F89" s="18"/>
    </row>
    <row r="90" spans="4:6" ht="14.25" customHeight="1" x14ac:dyDescent="0.45">
      <c r="D90" s="18"/>
      <c r="E90" s="18"/>
      <c r="F90" s="18"/>
    </row>
    <row r="91" spans="4:6" ht="14.25" customHeight="1" x14ac:dyDescent="0.45">
      <c r="D91" s="18"/>
      <c r="E91" s="18"/>
      <c r="F91" s="18"/>
    </row>
  </sheetData>
  <mergeCells count="1"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We-Oh</vt:lpstr>
      <vt:lpstr>We-Bars</vt:lpstr>
      <vt:lpstr>Tanner Deformation</vt:lpstr>
      <vt:lpstr>O'Rourke Deformation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Anushka D</dc:creator>
  <cp:keywords/>
  <dc:description/>
  <cp:lastModifiedBy>Dharmasanam, Anushka</cp:lastModifiedBy>
  <cp:revision/>
  <dcterms:created xsi:type="dcterms:W3CDTF">2015-06-05T18:17:20Z</dcterms:created>
  <dcterms:modified xsi:type="dcterms:W3CDTF">2026-08-04T02:49:27Z</dcterms:modified>
  <cp:category/>
  <cp:contentStatus/>
</cp:coreProperties>
</file>