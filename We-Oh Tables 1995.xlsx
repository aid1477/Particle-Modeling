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gtvault-my.sharepoint.com/personal/adharmasanam3_gatech_edu/Documents/0 - Research OEF/Particle Modeling/"/>
    </mc:Choice>
  </mc:AlternateContent>
  <xr:revisionPtr revIDLastSave="261" documentId="8_{D1F243AE-EEDB-446F-9C32-BDD84A68E908}" xr6:coauthVersionLast="47" xr6:coauthVersionMax="47" xr10:uidLastSave="{1C249044-38F6-4D6A-9166-58BCE74F7D82}"/>
  <bookViews>
    <workbookView xWindow="-98" yWindow="-98" windowWidth="23236" windowHeight="13875" activeTab="2" xr2:uid="{00000000-000D-0000-FFFF-FFFF00000000}"/>
  </bookViews>
  <sheets>
    <sheet name="We-Oh" sheetId="1" r:id="rId1"/>
    <sheet name="We-Bars 1995" sheetId="6" r:id="rId2"/>
    <sheet name="We-Bars" sheetId="2" r:id="rId3"/>
    <sheet name="Tanner Deformation" sheetId="3" r:id="rId4"/>
    <sheet name="O'Rourke Deformation" sheetId="4" r:id="rId5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C23" i="2"/>
  <c r="C22" i="2"/>
  <c r="C21" i="2"/>
  <c r="C20" i="2"/>
  <c r="C19" i="2"/>
  <c r="C18" i="2"/>
  <c r="C17" i="2"/>
  <c r="C16" i="2"/>
  <c r="D16" i="2"/>
  <c r="E16" i="2"/>
  <c r="F16" i="2"/>
  <c r="D17" i="2"/>
  <c r="E17" i="2"/>
  <c r="F17" i="2"/>
  <c r="D18" i="2"/>
  <c r="E18" i="2"/>
  <c r="F18" i="2"/>
  <c r="D19" i="2"/>
  <c r="E19" i="2"/>
  <c r="F19" i="2"/>
  <c r="D20" i="2"/>
  <c r="E20" i="2"/>
  <c r="F20" i="2"/>
  <c r="D21" i="2"/>
  <c r="E21" i="2"/>
  <c r="F21" i="2"/>
  <c r="D22" i="2"/>
  <c r="E22" i="2"/>
  <c r="F22" i="2"/>
  <c r="D23" i="2"/>
  <c r="E23" i="2"/>
  <c r="F23" i="2"/>
  <c r="D24" i="2"/>
  <c r="E24" i="2"/>
  <c r="F24" i="2"/>
  <c r="G17" i="2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0" i="3"/>
  <c r="E3" i="3"/>
  <c r="O4" i="1"/>
  <c r="P4" i="1"/>
  <c r="Q4" i="1"/>
  <c r="S4" i="1"/>
  <c r="T4" i="1"/>
  <c r="O5" i="1"/>
  <c r="P5" i="1"/>
  <c r="Q5" i="1"/>
  <c r="S5" i="1"/>
  <c r="T5" i="1"/>
  <c r="O6" i="1"/>
  <c r="P6" i="1"/>
  <c r="Q6" i="1"/>
  <c r="S6" i="1"/>
  <c r="T6" i="1"/>
  <c r="O7" i="1"/>
  <c r="P7" i="1"/>
  <c r="Q7" i="1"/>
  <c r="S7" i="1"/>
  <c r="T7" i="1"/>
  <c r="O8" i="1"/>
  <c r="P8" i="1"/>
  <c r="Q8" i="1"/>
  <c r="S8" i="1"/>
  <c r="T8" i="1"/>
  <c r="O9" i="1"/>
  <c r="P9" i="1"/>
  <c r="Q9" i="1"/>
  <c r="S9" i="1"/>
  <c r="T9" i="1"/>
  <c r="O10" i="1"/>
  <c r="P10" i="1"/>
  <c r="Q10" i="1"/>
  <c r="S10" i="1"/>
  <c r="T10" i="1"/>
  <c r="O11" i="1"/>
  <c r="P11" i="1"/>
  <c r="Q11" i="1"/>
  <c r="S11" i="1"/>
  <c r="T11" i="1"/>
  <c r="O12" i="1"/>
  <c r="P12" i="1"/>
  <c r="Q12" i="1"/>
  <c r="S12" i="1"/>
  <c r="T12" i="1"/>
  <c r="O13" i="1"/>
  <c r="P13" i="1"/>
  <c r="Q13" i="1"/>
  <c r="S13" i="1"/>
  <c r="T13" i="1"/>
  <c r="O14" i="1"/>
  <c r="P14" i="1"/>
  <c r="Q14" i="1"/>
  <c r="S14" i="1"/>
  <c r="T14" i="1"/>
  <c r="O15" i="1"/>
  <c r="P15" i="1"/>
  <c r="Q15" i="1"/>
  <c r="S15" i="1"/>
  <c r="T15" i="1"/>
  <c r="O16" i="1"/>
  <c r="P16" i="1"/>
  <c r="Q16" i="1"/>
  <c r="S16" i="1"/>
  <c r="T16" i="1"/>
  <c r="O17" i="1"/>
  <c r="P17" i="1"/>
  <c r="Q17" i="1"/>
  <c r="S17" i="1"/>
  <c r="T17" i="1"/>
  <c r="O18" i="1"/>
  <c r="P18" i="1"/>
  <c r="Q18" i="1"/>
  <c r="S18" i="1" s="1"/>
  <c r="T18" i="1"/>
  <c r="O19" i="1"/>
  <c r="P19" i="1"/>
  <c r="Q19" i="1"/>
  <c r="S19" i="1"/>
  <c r="T19" i="1"/>
  <c r="O20" i="1"/>
  <c r="P20" i="1"/>
  <c r="Q20" i="1"/>
  <c r="S20" i="1"/>
  <c r="T20" i="1"/>
  <c r="O21" i="1"/>
  <c r="P21" i="1"/>
  <c r="Q21" i="1"/>
  <c r="S21" i="1"/>
  <c r="T21" i="1"/>
  <c r="O22" i="1"/>
  <c r="P22" i="1"/>
  <c r="Q22" i="1"/>
  <c r="S22" i="1"/>
  <c r="T22" i="1"/>
  <c r="O23" i="1"/>
  <c r="P23" i="1"/>
  <c r="Q23" i="1"/>
  <c r="S23" i="1"/>
  <c r="T23" i="1"/>
  <c r="O24" i="1"/>
  <c r="P24" i="1"/>
  <c r="Q24" i="1"/>
  <c r="S24" i="1"/>
  <c r="T24" i="1"/>
  <c r="O25" i="1"/>
  <c r="P25" i="1"/>
  <c r="Q25" i="1"/>
  <c r="S25" i="1"/>
  <c r="T25" i="1"/>
  <c r="O26" i="1"/>
  <c r="P26" i="1"/>
  <c r="Q26" i="1"/>
  <c r="S26" i="1"/>
  <c r="T26" i="1"/>
  <c r="O27" i="1"/>
  <c r="P27" i="1"/>
  <c r="Q27" i="1"/>
  <c r="S27" i="1"/>
  <c r="T27" i="1"/>
  <c r="O28" i="1"/>
  <c r="P28" i="1"/>
  <c r="Q28" i="1"/>
  <c r="S28" i="1"/>
  <c r="T28" i="1"/>
  <c r="O29" i="1"/>
  <c r="P29" i="1"/>
  <c r="Q29" i="1" s="1"/>
  <c r="S29" i="1" s="1"/>
  <c r="T29" i="1"/>
  <c r="O30" i="1"/>
  <c r="P30" i="1"/>
  <c r="Q30" i="1"/>
  <c r="S30" i="1" s="1"/>
  <c r="T30" i="1"/>
  <c r="O31" i="1"/>
  <c r="P31" i="1"/>
  <c r="Q31" i="1" s="1"/>
  <c r="S31" i="1" s="1"/>
  <c r="T31" i="1"/>
  <c r="O32" i="1"/>
  <c r="P32" i="1"/>
  <c r="Q32" i="1"/>
  <c r="S32" i="1" s="1"/>
  <c r="T32" i="1"/>
  <c r="O33" i="1"/>
  <c r="P33" i="1"/>
  <c r="Q33" i="1"/>
  <c r="S33" i="1" s="1"/>
  <c r="T33" i="1"/>
  <c r="O34" i="1"/>
  <c r="P34" i="1"/>
  <c r="Q34" i="1" s="1"/>
  <c r="S34" i="1" s="1"/>
  <c r="T34" i="1"/>
  <c r="O35" i="1"/>
  <c r="P35" i="1"/>
  <c r="Q35" i="1" s="1"/>
  <c r="S35" i="1" s="1"/>
  <c r="T35" i="1"/>
  <c r="O36" i="1"/>
  <c r="P36" i="1"/>
  <c r="O37" i="1"/>
  <c r="P37" i="1"/>
  <c r="Q37" i="1" s="1"/>
  <c r="S37" i="1" s="1"/>
  <c r="T37" i="1"/>
  <c r="O38" i="1"/>
  <c r="P38" i="1"/>
  <c r="Q38" i="1" s="1"/>
  <c r="S38" i="1" s="1"/>
  <c r="T38" i="1"/>
  <c r="O39" i="1"/>
  <c r="P39" i="1"/>
  <c r="O40" i="1"/>
  <c r="P40" i="1"/>
  <c r="Q40" i="1"/>
  <c r="S40" i="1" s="1"/>
  <c r="T40" i="1"/>
  <c r="O41" i="1"/>
  <c r="P41" i="1"/>
  <c r="O42" i="1"/>
  <c r="P42" i="1"/>
  <c r="Q42" i="1" s="1"/>
  <c r="S42" i="1" s="1"/>
  <c r="T42" i="1"/>
  <c r="O3" i="1"/>
  <c r="P3" i="1"/>
  <c r="Q3" i="1"/>
  <c r="S3" i="1"/>
  <c r="T3" i="1"/>
  <c r="N2" i="1"/>
  <c r="O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8" i="1"/>
  <c r="N39" i="1"/>
  <c r="N40" i="1"/>
  <c r="N41" i="1"/>
  <c r="N42" i="1"/>
  <c r="N43" i="1"/>
  <c r="N44" i="1"/>
  <c r="N45" i="1"/>
  <c r="N46" i="1"/>
  <c r="O46" i="1" s="1"/>
  <c r="N47" i="1"/>
  <c r="O47" i="1"/>
  <c r="N48" i="1"/>
  <c r="O48" i="1" s="1"/>
  <c r="N49" i="1"/>
  <c r="N50" i="1"/>
  <c r="N51" i="1"/>
  <c r="N52" i="1"/>
  <c r="O52" i="1"/>
  <c r="G23" i="2"/>
  <c r="I24" i="6"/>
  <c r="H24" i="6"/>
  <c r="G24" i="6"/>
  <c r="F24" i="6"/>
  <c r="E24" i="6"/>
  <c r="C24" i="6"/>
  <c r="I23" i="6"/>
  <c r="H23" i="6"/>
  <c r="G23" i="6"/>
  <c r="F23" i="6"/>
  <c r="E23" i="6"/>
  <c r="C23" i="6"/>
  <c r="I22" i="6"/>
  <c r="H22" i="6"/>
  <c r="G22" i="6"/>
  <c r="F22" i="6"/>
  <c r="E22" i="6"/>
  <c r="C22" i="6"/>
  <c r="I21" i="6"/>
  <c r="H21" i="6"/>
  <c r="G21" i="6"/>
  <c r="F21" i="6"/>
  <c r="E21" i="6"/>
  <c r="C21" i="6"/>
  <c r="I20" i="6"/>
  <c r="H20" i="6"/>
  <c r="G20" i="6"/>
  <c r="F20" i="6"/>
  <c r="E20" i="6"/>
  <c r="C20" i="6"/>
  <c r="I19" i="6"/>
  <c r="H19" i="6"/>
  <c r="G19" i="6"/>
  <c r="F19" i="6"/>
  <c r="E19" i="6"/>
  <c r="C19" i="6"/>
  <c r="I18" i="6"/>
  <c r="H18" i="6"/>
  <c r="G18" i="6"/>
  <c r="F18" i="6"/>
  <c r="E18" i="6"/>
  <c r="C18" i="6"/>
  <c r="I17" i="6"/>
  <c r="H17" i="6"/>
  <c r="G17" i="6"/>
  <c r="F17" i="6"/>
  <c r="E17" i="6"/>
  <c r="C17" i="6"/>
  <c r="I16" i="6"/>
  <c r="H16" i="6"/>
  <c r="G16" i="6"/>
  <c r="F16" i="6"/>
  <c r="E16" i="6"/>
  <c r="C16" i="6"/>
  <c r="H17" i="2"/>
  <c r="I17" i="2"/>
  <c r="J17" i="2"/>
  <c r="G18" i="2"/>
  <c r="H18" i="2"/>
  <c r="I18" i="2"/>
  <c r="J18" i="2"/>
  <c r="G19" i="2"/>
  <c r="H19" i="2"/>
  <c r="I19" i="2"/>
  <c r="J19" i="2"/>
  <c r="G20" i="2"/>
  <c r="H20" i="2"/>
  <c r="I20" i="2"/>
  <c r="J20" i="2"/>
  <c r="G21" i="2"/>
  <c r="H21" i="2"/>
  <c r="I21" i="2"/>
  <c r="J21" i="2"/>
  <c r="G22" i="2"/>
  <c r="H22" i="2"/>
  <c r="I22" i="2"/>
  <c r="J22" i="2"/>
  <c r="H23" i="2"/>
  <c r="I23" i="2"/>
  <c r="J23" i="2"/>
  <c r="G24" i="2"/>
  <c r="H24" i="2"/>
  <c r="I24" i="2"/>
  <c r="J24" i="2"/>
  <c r="G16" i="2"/>
  <c r="J16" i="2"/>
  <c r="H16" i="2"/>
  <c r="I16" i="2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Q36" i="1" l="1"/>
  <c r="S36" i="1" s="1"/>
  <c r="T36" i="1"/>
  <c r="Q39" i="1"/>
  <c r="S39" i="1" s="1"/>
  <c r="T39" i="1"/>
  <c r="Q41" i="1"/>
  <c r="S41" i="1" s="1"/>
  <c r="T41" i="1"/>
  <c r="O43" i="1"/>
  <c r="O44" i="1"/>
  <c r="O45" i="1"/>
  <c r="O49" i="1"/>
  <c r="P50" i="1"/>
  <c r="O50" i="1"/>
  <c r="O51" i="1"/>
  <c r="P51" i="1"/>
  <c r="C10" i="1"/>
  <c r="C9" i="1"/>
  <c r="P43" i="1" l="1"/>
  <c r="P44" i="1"/>
  <c r="P45" i="1"/>
  <c r="P49" i="1"/>
  <c r="P2" i="1"/>
  <c r="P48" i="1"/>
  <c r="P46" i="1"/>
  <c r="P47" i="1"/>
  <c r="P52" i="1"/>
  <c r="T43" i="1"/>
  <c r="Q43" i="1"/>
  <c r="S43" i="1" s="1"/>
  <c r="Q44" i="1"/>
  <c r="S44" i="1" s="1"/>
  <c r="T44" i="1"/>
  <c r="Q45" i="1"/>
  <c r="S45" i="1" s="1"/>
  <c r="T45" i="1"/>
  <c r="Q49" i="1"/>
  <c r="S49" i="1" s="1"/>
  <c r="T49" i="1"/>
  <c r="T50" i="1"/>
  <c r="Q50" i="1"/>
  <c r="S50" i="1" s="1"/>
  <c r="T51" i="1"/>
  <c r="Q51" i="1"/>
  <c r="S51" i="1" s="1"/>
  <c r="T52" i="1" l="1"/>
  <c r="Q52" i="1"/>
  <c r="S52" i="1" s="1"/>
  <c r="Q2" i="1"/>
  <c r="S2" i="1" s="1"/>
  <c r="T2" i="1"/>
  <c r="Q48" i="1"/>
  <c r="S48" i="1" s="1"/>
  <c r="T48" i="1"/>
  <c r="Q46" i="1"/>
  <c r="S46" i="1" s="1"/>
  <c r="T46" i="1"/>
  <c r="Q47" i="1"/>
  <c r="S47" i="1" s="1"/>
  <c r="T47" i="1"/>
</calcChain>
</file>

<file path=xl/sharedStrings.xml><?xml version="1.0" encoding="utf-8"?>
<sst xmlns="http://schemas.openxmlformats.org/spreadsheetml/2006/main" count="253" uniqueCount="84">
  <si>
    <t>Constants</t>
  </si>
  <si>
    <t>We</t>
  </si>
  <si>
    <t>Oh</t>
  </si>
  <si>
    <t>Re</t>
  </si>
  <si>
    <t>Target Radius</t>
  </si>
  <si>
    <t>Target Vel</t>
  </si>
  <si>
    <t>We Ck</t>
  </si>
  <si>
    <t>Oh Ck</t>
  </si>
  <si>
    <t>O'Rourke</t>
  </si>
  <si>
    <t xml:space="preserve">Tanner </t>
  </si>
  <si>
    <t>Constant Name</t>
  </si>
  <si>
    <t>Var in Code</t>
  </si>
  <si>
    <t>Value</t>
  </si>
  <si>
    <t>Units</t>
  </si>
  <si>
    <t>Notes</t>
  </si>
  <si>
    <t>gas density</t>
  </si>
  <si>
    <t>rho_g</t>
  </si>
  <si>
    <t>kg/m^3</t>
  </si>
  <si>
    <t>air</t>
  </si>
  <si>
    <t>liquid density</t>
  </si>
  <si>
    <t>rho_l</t>
  </si>
  <si>
    <t>water</t>
  </si>
  <si>
    <t>parent radius</t>
  </si>
  <si>
    <t>parent_r</t>
  </si>
  <si>
    <t>m</t>
  </si>
  <si>
    <t>will change</t>
  </si>
  <si>
    <t>surface tension</t>
  </si>
  <si>
    <t>sigma</t>
  </si>
  <si>
    <t>kg/s^2 (N/m)</t>
  </si>
  <si>
    <t>drop velocity</t>
  </si>
  <si>
    <t>u</t>
  </si>
  <si>
    <t>m/s</t>
  </si>
  <si>
    <t>liquid dynamic viscocity</t>
  </si>
  <si>
    <t>mu_l</t>
  </si>
  <si>
    <t>Pa*s</t>
  </si>
  <si>
    <t>gas dynamic viscocity</t>
  </si>
  <si>
    <t>mu_g</t>
  </si>
  <si>
    <t>Oh = mu_l / ((rho_l*parent_r*sigma)^(1/2)) = sqrt(We)/Re</t>
  </si>
  <si>
    <t>We = rho_g*(u^2)*parent_r/sigma</t>
  </si>
  <si>
    <t>Re = 2*rho_g*parent_r*u/mu_g</t>
  </si>
  <si>
    <t>Transposed Matrix, numer = upper bound on regime</t>
  </si>
  <si>
    <t>Model</t>
  </si>
  <si>
    <t>5% Def</t>
  </si>
  <si>
    <t>10% Def</t>
  </si>
  <si>
    <t>20% Def</t>
  </si>
  <si>
    <t>Osc. Def.</t>
  </si>
  <si>
    <t>Bag Breakup</t>
  </si>
  <si>
    <t>Multimode/Stripping</t>
  </si>
  <si>
    <t>Shear/Catastrophic</t>
  </si>
  <si>
    <t>Faeth</t>
  </si>
  <si>
    <t>Tanner</t>
  </si>
  <si>
    <t>Differences for Bar Chart</t>
  </si>
  <si>
    <t>same bounds, 5% doesn’t exist</t>
  </si>
  <si>
    <t>Label</t>
  </si>
  <si>
    <t>Behaviour</t>
  </si>
  <si>
    <t>Tanner, 2003</t>
  </si>
  <si>
    <t>Stripping Breakup</t>
  </si>
  <si>
    <t>Catastrophic Breakup</t>
  </si>
  <si>
    <t>10 (1)</t>
  </si>
  <si>
    <t>20 (2)</t>
  </si>
  <si>
    <t>&gt;20 (&gt;)</t>
  </si>
  <si>
    <t>osc</t>
  </si>
  <si>
    <t>bag</t>
  </si>
  <si>
    <t>str</t>
  </si>
  <si>
    <t>cat</t>
  </si>
  <si>
    <t>Oscillatory deformation</t>
  </si>
  <si>
    <t>&gt;20% Deformation</t>
  </si>
  <si>
    <t>10%&gt; Deformation &gt;20%</t>
  </si>
  <si>
    <t>5% &gt; Deformation &gt;20%</t>
  </si>
  <si>
    <t>&lt;5% Deformation</t>
  </si>
  <si>
    <t>5 (5)</t>
  </si>
  <si>
    <t>o</t>
  </si>
  <si>
    <t>b</t>
  </si>
  <si>
    <t>s</t>
  </si>
  <si>
    <t>c</t>
  </si>
  <si>
    <t>&gt;</t>
  </si>
  <si>
    <t>All Breakup</t>
  </si>
  <si>
    <t>TAB</t>
  </si>
  <si>
    <t>ETAB</t>
  </si>
  <si>
    <t>Hsiang &amp; Faeth (1995)</t>
  </si>
  <si>
    <t>Deformation &lt;5%</t>
  </si>
  <si>
    <t>5%&lt; Deformation &lt;10%</t>
  </si>
  <si>
    <t>10%&lt; Deformation &lt;20%</t>
  </si>
  <si>
    <t>Deformation &gt;20%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</si>
</sst>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000000"/>
    <numFmt numFmtId="166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164" fontId="0" fillId="0" borderId="0" xfId="0" applyNumberFormat="1"/>
    <xf numFmtId="1" fontId="2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0" fontId="0" fillId="2" borderId="0" xfId="0" applyFill="1"/>
    <xf numFmtId="165" fontId="0" fillId="2" borderId="0" xfId="0" applyNumberFormat="1" applyFill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/>
    <xf numFmtId="164" fontId="0" fillId="0" borderId="0" xfId="0" applyNumberFormat="1" applyAlignment="1">
      <alignment horizontal="right"/>
    </xf>
    <xf numFmtId="166" fontId="0" fillId="3" borderId="0" xfId="0" applyNumberFormat="1" applyFill="1"/>
    <xf numFmtId="0" fontId="0" fillId="3" borderId="0" xfId="0" applyFill="1"/>
    <xf numFmtId="166" fontId="0" fillId="4" borderId="0" xfId="0" applyNumberFormat="1" applyFill="1"/>
    <xf numFmtId="0" fontId="0" fillId="4" borderId="0" xfId="0" applyFill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 1995'!$C$15</c:f>
              <c:strCache>
                <c:ptCount val="1"/>
                <c:pt idx="0">
                  <c:v>5% Def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1995'!$C$16:$C$21</c15:sqref>
                  </c15:fullRef>
                </c:ext>
              </c:extLst>
              <c:f>'We-Bars 1995'!$C$16:$C$18</c:f>
              <c:numCache>
                <c:formatCode>General</c:formatCode>
                <c:ptCount val="3"/>
                <c:pt idx="0">
                  <c:v>1</c:v>
                </c:pt>
                <c:pt idx="1">
                  <c:v>0.7</c:v>
                </c:pt>
                <c:pt idx="2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E-466B-B757-95C3CE5A8775}"/>
            </c:ext>
          </c:extLst>
        </c:ser>
        <c:ser>
          <c:idx val="1"/>
          <c:order val="1"/>
          <c:tx>
            <c:strRef>
              <c:f>'We-Bars 1995'!$E$15</c:f>
              <c:strCache>
                <c:ptCount val="1"/>
                <c:pt idx="0">
                  <c:v>20% Def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1995'!$E$16:$E$21</c15:sqref>
                  </c15:fullRef>
                </c:ext>
              </c:extLst>
              <c:f>'We-Bars 1995'!$E$16:$E$18</c:f>
              <c:numCache>
                <c:formatCode>General</c:formatCode>
                <c:ptCount val="3"/>
                <c:pt idx="0">
                  <c:v>2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9E-466B-B757-95C3CE5A8775}"/>
            </c:ext>
          </c:extLst>
        </c:ser>
        <c:ser>
          <c:idx val="2"/>
          <c:order val="2"/>
          <c:tx>
            <c:strRef>
              <c:f>'We-Bars 1995'!$F$15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1995'!$F$16:$F$21</c15:sqref>
                  </c15:fullRef>
                </c:ext>
              </c:extLst>
              <c:f>'We-Bars 1995'!$F$16:$F$18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9E-466B-B757-95C3CE5A8775}"/>
            </c:ext>
          </c:extLst>
        </c:ser>
        <c:ser>
          <c:idx val="3"/>
          <c:order val="3"/>
          <c:tx>
            <c:strRef>
              <c:f>'We-Bars 1995'!$G$15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1995'!$G$16:$G$21</c15:sqref>
                  </c15:fullRef>
                </c:ext>
              </c:extLst>
              <c:f>'We-Bars 1995'!$G$16:$G$18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9E-466B-B757-95C3CE5A8775}"/>
            </c:ext>
          </c:extLst>
        </c:ser>
        <c:ser>
          <c:idx val="4"/>
          <c:order val="4"/>
          <c:tx>
            <c:strRef>
              <c:f>'We-Bars 1995'!$H$15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1995'!$H$16:$H$21</c15:sqref>
                  </c15:fullRef>
                </c:ext>
              </c:extLst>
              <c:f>'We-Bars 1995'!$H$16:$H$18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9E-466B-B757-95C3CE5A8775}"/>
            </c:ext>
          </c:extLst>
        </c:ser>
        <c:ser>
          <c:idx val="5"/>
          <c:order val="5"/>
          <c:tx>
            <c:strRef>
              <c:f>'We-Bars 1995'!$I$15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1995'!$I$16:$I$21</c15:sqref>
                  </c15:fullRef>
                </c:ext>
              </c:extLst>
              <c:f>'We-Bars 1995'!$I$16:$I$18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A9E-466B-B757-95C3CE5A8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6"/>
          <c:order val="0"/>
          <c:tx>
            <c:strRef>
              <c:f>'We-Bars 1995'!$C$15</c:f>
              <c:strCache>
                <c:ptCount val="1"/>
                <c:pt idx="0">
                  <c:v>5% Def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1995'!$C$16:$C$21</c:f>
              <c:numCache>
                <c:formatCode>General</c:formatCode>
                <c:ptCount val="6"/>
                <c:pt idx="0">
                  <c:v>1</c:v>
                </c:pt>
                <c:pt idx="1">
                  <c:v>0.7</c:v>
                </c:pt>
                <c:pt idx="2">
                  <c:v>0.7</c:v>
                </c:pt>
                <c:pt idx="3">
                  <c:v>1</c:v>
                </c:pt>
                <c:pt idx="4">
                  <c:v>0.7</c:v>
                </c:pt>
                <c:pt idx="5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73-4DC1-A1B2-4BE9D232790C}"/>
            </c:ext>
          </c:extLst>
        </c:ser>
        <c:ser>
          <c:idx val="7"/>
          <c:order val="1"/>
          <c:tx>
            <c:strRef>
              <c:f>'We-Bars 1995'!$E$15</c:f>
              <c:strCache>
                <c:ptCount val="1"/>
                <c:pt idx="0">
                  <c:v>20% Def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1995'!$E$16:$E$21</c:f>
              <c:numCache>
                <c:formatCode>General</c:formatCode>
                <c:ptCount val="6"/>
                <c:pt idx="0">
                  <c:v>2</c:v>
                </c:pt>
                <c:pt idx="1">
                  <c:v>0.8</c:v>
                </c:pt>
                <c:pt idx="2">
                  <c:v>0.8</c:v>
                </c:pt>
                <c:pt idx="3">
                  <c:v>2</c:v>
                </c:pt>
                <c:pt idx="4">
                  <c:v>0.8</c:v>
                </c:pt>
                <c:pt idx="5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73-4DC1-A1B2-4BE9D232790C}"/>
            </c:ext>
          </c:extLst>
        </c:ser>
        <c:ser>
          <c:idx val="8"/>
          <c:order val="2"/>
          <c:tx>
            <c:strRef>
              <c:f>'We-Bars 1995'!$F$15</c:f>
              <c:strCache>
                <c:ptCount val="1"/>
                <c:pt idx="0">
                  <c:v>Osc. Def.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1995'!$F$16:$F$21</c:f>
              <c:numCache>
                <c:formatCode>General</c:formatCode>
                <c:ptCount val="6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  <c:pt idx="3">
                  <c:v>8</c:v>
                </c:pt>
                <c:pt idx="4">
                  <c:v>3.5</c:v>
                </c:pt>
                <c:pt idx="5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73-4DC1-A1B2-4BE9D232790C}"/>
            </c:ext>
          </c:extLst>
        </c:ser>
        <c:ser>
          <c:idx val="9"/>
          <c:order val="3"/>
          <c:tx>
            <c:strRef>
              <c:f>'We-Bars 1995'!$G$15</c:f>
              <c:strCache>
                <c:ptCount val="1"/>
                <c:pt idx="0">
                  <c:v>Bag Breakup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1995'!$G$16:$G$21</c:f>
              <c:numCache>
                <c:formatCode>General</c:formatCode>
                <c:ptCount val="6"/>
                <c:pt idx="0">
                  <c:v>24</c:v>
                </c:pt>
                <c:pt idx="1">
                  <c:v>0</c:v>
                </c:pt>
                <c:pt idx="2">
                  <c:v>63</c:v>
                </c:pt>
                <c:pt idx="3">
                  <c:v>24</c:v>
                </c:pt>
                <c:pt idx="4">
                  <c:v>0</c:v>
                </c:pt>
                <c:pt idx="5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73-4DC1-A1B2-4BE9D232790C}"/>
            </c:ext>
          </c:extLst>
        </c:ser>
        <c:ser>
          <c:idx val="10"/>
          <c:order val="4"/>
          <c:tx>
            <c:strRef>
              <c:f>'We-Bars 1995'!$H$15</c:f>
              <c:strCache>
                <c:ptCount val="1"/>
                <c:pt idx="0">
                  <c:v>Multimode/Stripping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1995'!$H$16:$H$21</c:f>
              <c:numCache>
                <c:formatCode>General</c:formatCode>
                <c:ptCount val="6"/>
                <c:pt idx="0">
                  <c:v>45</c:v>
                </c:pt>
                <c:pt idx="1">
                  <c:v>0</c:v>
                </c:pt>
                <c:pt idx="2">
                  <c:v>230</c:v>
                </c:pt>
                <c:pt idx="3">
                  <c:v>45</c:v>
                </c:pt>
                <c:pt idx="4">
                  <c:v>0</c:v>
                </c:pt>
                <c:pt idx="5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673-4DC1-A1B2-4BE9D232790C}"/>
            </c:ext>
          </c:extLst>
        </c:ser>
        <c:ser>
          <c:idx val="11"/>
          <c:order val="5"/>
          <c:tx>
            <c:strRef>
              <c:f>'We-Bars 1995'!$I$15</c:f>
              <c:strCache>
                <c:ptCount val="1"/>
                <c:pt idx="0">
                  <c:v>Shear/Catastrophic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1995'!$I$16:$I$21</c:f>
              <c:numCache>
                <c:formatCode>General</c:formatCode>
                <c:ptCount val="6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  <c:pt idx="3">
                  <c:v>920</c:v>
                </c:pt>
                <c:pt idx="4">
                  <c:v>995</c:v>
                </c:pt>
                <c:pt idx="5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673-4DC1-A1B2-4BE9D232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  <c:extLst>
          <c:ext xmlns:c15="http://schemas.microsoft.com/office/drawing/2012/chart" uri="{02D57815-91ED-43cb-92C2-25804820EDAC}">
            <c15:filteredBarSeries>
              <c15:ser>
                <c:idx val="0"/>
                <c:order val="6"/>
                <c:tx>
                  <c:strRef>
                    <c:extLst>
                      <c:ext uri="{02D57815-91ED-43cb-92C2-25804820EDAC}">
                        <c15:formulaRef>
                          <c15:sqref>'We-Bars 1995'!$C$15</c15:sqref>
                        </c15:formulaRef>
                      </c:ext>
                    </c:extLst>
                    <c:strCache>
                      <c:ptCount val="1"/>
                      <c:pt idx="0">
                        <c:v>5% Def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'We-Bars 1995'!$C$19:$C$21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</c:v>
                      </c:pt>
                      <c:pt idx="1">
                        <c:v>0.7</c:v>
                      </c:pt>
                      <c:pt idx="2">
                        <c:v>0.7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673-4DC1-A1B2-4BE9D232790C}"/>
                  </c:ext>
                </c:extLst>
              </c15:ser>
            </c15:filteredBarSeries>
            <c15:filteredBarSeries>
              <c15:ser>
                <c:idx val="1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1995'!$E$15</c15:sqref>
                        </c15:formulaRef>
                      </c:ext>
                    </c:extLst>
                    <c:strCache>
                      <c:ptCount val="1"/>
                      <c:pt idx="0">
                        <c:v>20% Def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1995'!$E$19:$E$21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</c:v>
                      </c:pt>
                      <c:pt idx="1">
                        <c:v>0.8</c:v>
                      </c:pt>
                      <c:pt idx="2">
                        <c:v>0.8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673-4DC1-A1B2-4BE9D232790C}"/>
                  </c:ext>
                </c:extLst>
              </c15:ser>
            </c15:filteredBarSeries>
            <c15:filteredBarSeries>
              <c15:ser>
                <c:idx val="2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1995'!$F$15</c15:sqref>
                        </c15:formulaRef>
                      </c:ext>
                    </c:extLst>
                    <c:strCache>
                      <c:ptCount val="1"/>
                      <c:pt idx="0">
                        <c:v>Osc. Def.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1995'!$F$19:$F$21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8</c:v>
                      </c:pt>
                      <c:pt idx="1">
                        <c:v>3.5</c:v>
                      </c:pt>
                      <c:pt idx="2">
                        <c:v>5.5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673-4DC1-A1B2-4BE9D232790C}"/>
                  </c:ext>
                </c:extLst>
              </c15:ser>
            </c15:filteredBarSeries>
            <c15:filteredBarSeries>
              <c15:ser>
                <c:idx val="3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1995'!$G$15</c15:sqref>
                        </c15:formulaRef>
                      </c:ext>
                    </c:extLst>
                    <c:strCache>
                      <c:ptCount val="1"/>
                      <c:pt idx="0">
                        <c:v>Bag Breakup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1995'!$G$19:$G$21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</c:v>
                      </c:pt>
                      <c:pt idx="1">
                        <c:v>0</c:v>
                      </c:pt>
                      <c:pt idx="2">
                        <c:v>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673-4DC1-A1B2-4BE9D232790C}"/>
                  </c:ext>
                </c:extLst>
              </c15:ser>
            </c15:filteredBarSeries>
            <c15:filteredBarSeries>
              <c15:ser>
                <c:idx val="4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1995'!$H$15</c15:sqref>
                        </c15:formulaRef>
                      </c:ext>
                    </c:extLst>
                    <c:strCache>
                      <c:ptCount val="1"/>
                      <c:pt idx="0">
                        <c:v>Multimode/Stripping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1995'!$H$19:$H$21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45</c:v>
                      </c:pt>
                      <c:pt idx="1">
                        <c:v>0</c:v>
                      </c:pt>
                      <c:pt idx="2">
                        <c:v>230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673-4DC1-A1B2-4BE9D232790C}"/>
                  </c:ext>
                </c:extLst>
              </c15:ser>
            </c15:filteredBarSeries>
            <c15:filteredBarSeries>
              <c15:ser>
                <c:idx val="5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1995'!$I$15</c15:sqref>
                        </c15:formulaRef>
                      </c:ext>
                    </c:extLst>
                    <c:strCache>
                      <c:ptCount val="1"/>
                      <c:pt idx="0">
                        <c:v>Shear/Catastrophic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1995'!$I$19:$I$21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920</c:v>
                      </c:pt>
                      <c:pt idx="1">
                        <c:v>995</c:v>
                      </c:pt>
                      <c:pt idx="2">
                        <c:v>700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673-4DC1-A1B2-4BE9D232790C}"/>
                  </c:ext>
                </c:extLst>
              </c15:ser>
            </c15:filteredBarSeries>
          </c:ext>
        </c:extLst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 1995'!$C$15</c:f>
              <c:strCache>
                <c:ptCount val="1"/>
                <c:pt idx="0">
                  <c:v>5% Def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1995'!$C$16:$C$24</c15:sqref>
                  </c15:fullRef>
                </c:ext>
              </c:extLst>
              <c:f>'We-Bars 1995'!$C$22:$C$24</c:f>
              <c:numCache>
                <c:formatCode>General</c:formatCode>
                <c:ptCount val="3"/>
                <c:pt idx="0">
                  <c:v>1</c:v>
                </c:pt>
                <c:pt idx="1">
                  <c:v>0.7</c:v>
                </c:pt>
                <c:pt idx="2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9F-4B39-94FC-F78F1AA9779A}"/>
            </c:ext>
          </c:extLst>
        </c:ser>
        <c:ser>
          <c:idx val="1"/>
          <c:order val="1"/>
          <c:tx>
            <c:strRef>
              <c:f>'We-Bars 1995'!$E$15</c:f>
              <c:strCache>
                <c:ptCount val="1"/>
                <c:pt idx="0">
                  <c:v>20% Def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1995'!$E$16:$E$24</c15:sqref>
                  </c15:fullRef>
                </c:ext>
              </c:extLst>
              <c:f>'We-Bars 1995'!$E$22:$E$24</c:f>
              <c:numCache>
                <c:formatCode>General</c:formatCode>
                <c:ptCount val="3"/>
                <c:pt idx="0">
                  <c:v>2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9F-4B39-94FC-F78F1AA9779A}"/>
            </c:ext>
          </c:extLst>
        </c:ser>
        <c:ser>
          <c:idx val="2"/>
          <c:order val="2"/>
          <c:tx>
            <c:strRef>
              <c:f>'We-Bars 1995'!$F$15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1995'!$F$16:$F$24</c15:sqref>
                  </c15:fullRef>
                </c:ext>
              </c:extLst>
              <c:f>'We-Bars 1995'!$F$22:$F$24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9F-4B39-94FC-F78F1AA9779A}"/>
            </c:ext>
          </c:extLst>
        </c:ser>
        <c:ser>
          <c:idx val="3"/>
          <c:order val="3"/>
          <c:tx>
            <c:strRef>
              <c:f>'We-Bars 1995'!$G$15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1995'!$G$16:$G$24</c15:sqref>
                  </c15:fullRef>
                </c:ext>
              </c:extLst>
              <c:f>'We-Bars 1995'!$G$22:$G$24</c:f>
              <c:numCache>
                <c:formatCode>General</c:formatCode>
                <c:ptCount val="3"/>
                <c:pt idx="0">
                  <c:v>26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9F-4B39-94FC-F78F1AA9779A}"/>
            </c:ext>
          </c:extLst>
        </c:ser>
        <c:ser>
          <c:idx val="4"/>
          <c:order val="4"/>
          <c:tx>
            <c:strRef>
              <c:f>'We-Bars 1995'!$H$15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1995'!$H$16:$H$24</c15:sqref>
                  </c15:fullRef>
                </c:ext>
              </c:extLst>
              <c:f>'We-Bars 1995'!$H$22:$H$24</c:f>
              <c:numCache>
                <c:formatCode>General</c:formatCode>
                <c:ptCount val="3"/>
                <c:pt idx="0">
                  <c:v>43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89F-4B39-94FC-F78F1AA9779A}"/>
            </c:ext>
          </c:extLst>
        </c:ser>
        <c:ser>
          <c:idx val="5"/>
          <c:order val="5"/>
          <c:tx>
            <c:strRef>
              <c:f>'We-Bars 1995'!$I$15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1995'!$I$16:$I$24</c15:sqref>
                  </c15:fullRef>
                </c:ext>
              </c:extLst>
              <c:f>'We-Bars 1995'!$I$22:$I$24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89F-4B39-94FC-F78F1AA97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Deformation 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'We-Bars'!$C$16:$C$24</c15:sqref>
                  </c15:fullRef>
                </c:ext>
              </c:extLst>
              <c:f>'We-Bars'!$C$16:$C$18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0D-431A-B73F-1235DB25A930}"/>
            </c:ext>
          </c:extLst>
        </c:ser>
        <c:ser>
          <c:idx val="1"/>
          <c:order val="1"/>
          <c:tx>
            <c:strRef>
              <c:f>'We-Bars'!$D$15</c:f>
              <c:strCache>
                <c:ptCount val="1"/>
                <c:pt idx="0">
                  <c:v>5%&lt; Deformation &lt;10%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'We-Bars'!$D$16:$D$24</c15:sqref>
                  </c15:fullRef>
                </c:ext>
              </c:extLst>
              <c:f>'We-Bars'!$D$16:$D$18</c:f>
              <c:numCache>
                <c:formatCode>General</c:formatCode>
                <c:ptCount val="3"/>
                <c:pt idx="0">
                  <c:v>0.62</c:v>
                </c:pt>
                <c:pt idx="1">
                  <c:v>0.39999999999999997</c:v>
                </c:pt>
                <c:pt idx="2">
                  <c:v>0.39999999999999997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0D-431A-B73F-1235DB25A930}"/>
            </c:ext>
          </c:extLst>
        </c:ser>
        <c:ser>
          <c:idx val="2"/>
          <c:order val="2"/>
          <c:tx>
            <c:strRef>
              <c:f>'We-Bars'!$E$15</c:f>
              <c:strCache>
                <c:ptCount val="1"/>
                <c:pt idx="0">
                  <c:v>10%&lt; Deformation &lt;20%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'We-Bars'!$E$16:$E$24</c15:sqref>
                  </c15:fullRef>
                </c:ext>
              </c:extLst>
              <c:f>'We-Bars'!$E$16:$E$18</c:f>
              <c:numCache>
                <c:formatCode>General</c:formatCode>
                <c:ptCount val="3"/>
                <c:pt idx="0">
                  <c:v>1.1000000000000001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0D-431A-B73F-1235DB25A930}"/>
            </c:ext>
          </c:extLst>
        </c:ser>
        <c:ser>
          <c:idx val="3"/>
          <c:order val="3"/>
          <c:tx>
            <c:strRef>
              <c:f>'We-Bars'!$F$15</c:f>
              <c:strCache>
                <c:ptCount val="1"/>
                <c:pt idx="0">
                  <c:v>Deformation &gt;20%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'We-Bars'!$F$16:$F$24</c15:sqref>
                  </c15:fullRef>
                </c:ext>
              </c:extLst>
              <c:f>'We-Bars'!$F$16:$F$18</c:f>
              <c:numCache>
                <c:formatCode>General</c:formatCode>
                <c:ptCount val="3"/>
                <c:pt idx="0">
                  <c:v>0.89999999999999991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0D-431A-B73F-1235DB25A930}"/>
            </c:ext>
          </c:extLst>
        </c:ser>
        <c:ser>
          <c:idx val="4"/>
          <c:order val="4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'We-Bars'!$G$16:$G$24</c15:sqref>
                  </c15:fullRef>
                </c:ext>
              </c:extLst>
              <c:f>'We-Bars'!$G$16:$G$18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0D-431A-B73F-1235DB25A930}"/>
            </c:ext>
          </c:extLst>
        </c:ser>
        <c:ser>
          <c:idx val="5"/>
          <c:order val="5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'We-Bars'!$H$16:$H$24</c15:sqref>
                  </c15:fullRef>
                </c:ext>
              </c:extLst>
              <c:f>'We-Bars'!$H$16:$H$18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80D-431A-B73F-1235DB25A930}"/>
            </c:ext>
          </c:extLst>
        </c:ser>
        <c:ser>
          <c:idx val="6"/>
          <c:order val="6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'We-Bars'!$I$16:$I$24</c15:sqref>
                  </c15:fullRef>
                </c:ext>
              </c:extLst>
              <c:f>'We-Bars'!$I$16:$I$18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65-437A-9849-466A0C65CC0B}"/>
            </c:ext>
          </c:extLst>
        </c:ser>
        <c:ser>
          <c:idx val="7"/>
          <c:order val="7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'We-Bars'!$J$16:$J$24</c15:sqref>
                  </c15:fullRef>
                </c:ext>
              </c:extLst>
              <c:f>'We-Bars'!$J$16:$J$18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65-437A-9849-466A0C65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Deformation 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'We-Bars'!$C$16:$C$21</c15:sqref>
                  </c15:fullRef>
                </c:ext>
              </c:extLst>
              <c:f>'We-Bars'!$C$16:$C$18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DC-4C74-A223-F9E503439A0E}"/>
            </c:ext>
          </c:extLst>
        </c:ser>
        <c:ser>
          <c:idx val="1"/>
          <c:order val="1"/>
          <c:tx>
            <c:strRef>
              <c:f>'We-Bars'!$F$15</c:f>
              <c:strCache>
                <c:ptCount val="1"/>
                <c:pt idx="0">
                  <c:v>Deformation &gt;20%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'We-Bars'!$F$16:$F$21</c15:sqref>
                  </c15:fullRef>
                </c:ext>
              </c:extLst>
              <c:f>'We-Bars'!$F$16:$F$18</c:f>
              <c:numCache>
                <c:formatCode>General</c:formatCode>
                <c:ptCount val="3"/>
                <c:pt idx="0">
                  <c:v>0.89999999999999991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DC-4C74-A223-F9E503439A0E}"/>
            </c:ext>
          </c:extLst>
        </c:ser>
        <c:ser>
          <c:idx val="2"/>
          <c:order val="2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'We-Bars'!$G$16:$G$21</c15:sqref>
                  </c15:fullRef>
                </c:ext>
              </c:extLst>
              <c:f>'We-Bars'!$G$16:$G$18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DC-4C74-A223-F9E503439A0E}"/>
            </c:ext>
          </c:extLst>
        </c:ser>
        <c:ser>
          <c:idx val="3"/>
          <c:order val="3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'We-Bars'!$H$16:$H$21</c15:sqref>
                  </c15:fullRef>
                </c:ext>
              </c:extLst>
              <c:f>'We-Bars'!$H$16:$H$18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DC-4C74-A223-F9E503439A0E}"/>
            </c:ext>
          </c:extLst>
        </c:ser>
        <c:ser>
          <c:idx val="4"/>
          <c:order val="4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'We-Bars'!$I$16:$I$21</c15:sqref>
                  </c15:fullRef>
                </c:ext>
              </c:extLst>
              <c:f>'We-Bars'!$I$16:$I$18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FDC-4C74-A223-F9E503439A0E}"/>
            </c:ext>
          </c:extLst>
        </c:ser>
        <c:ser>
          <c:idx val="5"/>
          <c:order val="5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'We-Bars'!$J$16:$J$21</c15:sqref>
                  </c15:fullRef>
                </c:ext>
              </c:extLst>
              <c:f>'We-Bars'!$J$16:$J$18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FDC-4C74-A223-F9E503439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Deformation &lt;5%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'We-Bars'!$C$16:$C$18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B-4EDF-9DA7-B7EDF96086A8}"/>
            </c:ext>
          </c:extLst>
        </c:ser>
        <c:ser>
          <c:idx val="1"/>
          <c:order val="1"/>
          <c:tx>
            <c:strRef>
              <c:f>'We-Bars'!$F$15</c:f>
              <c:strCache>
                <c:ptCount val="1"/>
                <c:pt idx="0">
                  <c:v>Deformation &gt;20%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'We-Bars'!$F$16:$F$18</c:f>
              <c:numCache>
                <c:formatCode>General</c:formatCode>
                <c:ptCount val="3"/>
                <c:pt idx="0">
                  <c:v>0.89999999999999991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9B-4EDF-9DA7-B7EDF96086A8}"/>
            </c:ext>
          </c:extLst>
        </c:ser>
        <c:ser>
          <c:idx val="2"/>
          <c:order val="2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'We-Bars'!$G$16:$G$18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9B-4EDF-9DA7-B7EDF96086A8}"/>
            </c:ext>
          </c:extLst>
        </c:ser>
        <c:ser>
          <c:idx val="3"/>
          <c:order val="3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'We-Bars'!$H$16:$H$18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9B-4EDF-9DA7-B7EDF96086A8}"/>
            </c:ext>
          </c:extLst>
        </c:ser>
        <c:ser>
          <c:idx val="4"/>
          <c:order val="4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'We-Bars'!$I$16:$I$18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09B-4EDF-9DA7-B7EDF96086A8}"/>
            </c:ext>
          </c:extLst>
        </c:ser>
        <c:ser>
          <c:idx val="5"/>
          <c:order val="5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'We-Bars'!$J$16:$J$18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09B-4EDF-9DA7-B7EDF9608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  <c:extLst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Deformation 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'We-Bars'!$C$16:$C$24</c15:sqref>
                  </c15:fullRef>
                </c:ext>
              </c:extLst>
              <c:f>'We-Bars'!$C$22:$C$24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66-4B5E-BBB0-A397C677FA7D}"/>
            </c:ext>
          </c:extLst>
        </c:ser>
        <c:ser>
          <c:idx val="1"/>
          <c:order val="1"/>
          <c:tx>
            <c:strRef>
              <c:f>'We-Bars'!$F$15</c:f>
              <c:strCache>
                <c:ptCount val="1"/>
                <c:pt idx="0">
                  <c:v>Deformation &gt;20%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'We-Bars'!$F$16:$F$24</c15:sqref>
                  </c15:fullRef>
                </c:ext>
              </c:extLst>
              <c:f>'We-Bars'!$F$22:$F$24</c:f>
              <c:numCache>
                <c:formatCode>General</c:formatCode>
                <c:ptCount val="3"/>
                <c:pt idx="0">
                  <c:v>2.9</c:v>
                </c:pt>
                <c:pt idx="1">
                  <c:v>1.5</c:v>
                </c:pt>
                <c:pt idx="2">
                  <c:v>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66-4B5E-BBB0-A397C677FA7D}"/>
            </c:ext>
          </c:extLst>
        </c:ser>
        <c:ser>
          <c:idx val="2"/>
          <c:order val="2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'We-Bars'!$G$16:$G$24</c15:sqref>
                  </c15:fullRef>
                </c:ext>
              </c:extLst>
              <c:f>'We-Bars'!$G$22:$G$24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66-4B5E-BBB0-A397C677FA7D}"/>
            </c:ext>
          </c:extLst>
        </c:ser>
        <c:ser>
          <c:idx val="3"/>
          <c:order val="3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'We-Bars'!$H$16:$H$24</c15:sqref>
                  </c15:fullRef>
                </c:ext>
              </c:extLst>
              <c:f>'We-Bars'!$H$22:$H$24</c:f>
              <c:numCache>
                <c:formatCode>General</c:formatCode>
                <c:ptCount val="3"/>
                <c:pt idx="0">
                  <c:v>26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66-4B5E-BBB0-A397C677FA7D}"/>
            </c:ext>
          </c:extLst>
        </c:ser>
        <c:ser>
          <c:idx val="4"/>
          <c:order val="4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'We-Bars'!$I$16:$I$24</c15:sqref>
                  </c15:fullRef>
                </c:ext>
              </c:extLst>
              <c:f>'We-Bars'!$I$22:$I$24</c:f>
              <c:numCache>
                <c:formatCode>General</c:formatCode>
                <c:ptCount val="3"/>
                <c:pt idx="0">
                  <c:v>43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66-4B5E-BBB0-A397C677FA7D}"/>
            </c:ext>
          </c:extLst>
        </c:ser>
        <c:ser>
          <c:idx val="5"/>
          <c:order val="5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'We-Bars'!$J$16:$J$24</c15:sqref>
                  </c15:fullRef>
                </c:ext>
              </c:extLst>
              <c:f>'We-Bars'!$J$22:$J$24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66-4B5E-BBB0-A397C677F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Deformation 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'We-Bars'!$C$16:$C$24</c15:sqref>
                  </c15:fullRef>
                </c:ext>
              </c:extLst>
              <c:f>'We-Bars'!$C$19:$C$21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85-4ECB-82AD-461148CF7162}"/>
            </c:ext>
          </c:extLst>
        </c:ser>
        <c:ser>
          <c:idx val="1"/>
          <c:order val="1"/>
          <c:tx>
            <c:strRef>
              <c:f>'We-Bars'!$D$15</c:f>
              <c:strCache>
                <c:ptCount val="1"/>
                <c:pt idx="0">
                  <c:v>5%&lt; Deformation &lt;10%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'We-Bars'!$D$16:$D$24</c15:sqref>
                  </c15:fullRef>
                </c:ext>
              </c:extLst>
              <c:f>'We-Bars'!$D$19:$D$21</c:f>
              <c:numCache>
                <c:formatCode>General</c:formatCode>
                <c:ptCount val="3"/>
                <c:pt idx="0">
                  <c:v>0.62</c:v>
                </c:pt>
                <c:pt idx="1">
                  <c:v>0.39999999999999997</c:v>
                </c:pt>
                <c:pt idx="2">
                  <c:v>0.39999999999999997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85-4ECB-82AD-461148CF7162}"/>
            </c:ext>
          </c:extLst>
        </c:ser>
        <c:ser>
          <c:idx val="2"/>
          <c:order val="2"/>
          <c:tx>
            <c:strRef>
              <c:f>'We-Bars'!$E$15</c:f>
              <c:strCache>
                <c:ptCount val="1"/>
                <c:pt idx="0">
                  <c:v>10%&lt; Deformation &lt;20%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'We-Bars'!$E$16:$E$24</c15:sqref>
                  </c15:fullRef>
                </c:ext>
              </c:extLst>
              <c:f>'We-Bars'!$E$19:$E$21</c:f>
              <c:numCache>
                <c:formatCode>General</c:formatCode>
                <c:ptCount val="3"/>
                <c:pt idx="0">
                  <c:v>1.1000000000000001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85-4ECB-82AD-461148CF7162}"/>
            </c:ext>
          </c:extLst>
        </c:ser>
        <c:ser>
          <c:idx val="3"/>
          <c:order val="3"/>
          <c:tx>
            <c:strRef>
              <c:f>'We-Bars'!$F$15</c:f>
              <c:strCache>
                <c:ptCount val="1"/>
                <c:pt idx="0">
                  <c:v>Deformation &gt;20%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'We-Bars'!$F$16:$F$24</c15:sqref>
                  </c15:fullRef>
                </c:ext>
              </c:extLst>
              <c:f>'We-Bars'!$F$19:$F$21</c:f>
              <c:numCache>
                <c:formatCode>General</c:formatCode>
                <c:ptCount val="3"/>
                <c:pt idx="0">
                  <c:v>0.89999999999999991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85-4ECB-82AD-461148CF7162}"/>
            </c:ext>
          </c:extLst>
        </c:ser>
        <c:ser>
          <c:idx val="4"/>
          <c:order val="4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'We-Bars'!$G$16:$G$24</c15:sqref>
                  </c15:fullRef>
                </c:ext>
              </c:extLst>
              <c:f>'We-Bars'!$G$19:$G$21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85-4ECB-82AD-461148CF7162}"/>
            </c:ext>
          </c:extLst>
        </c:ser>
        <c:ser>
          <c:idx val="5"/>
          <c:order val="5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'We-Bars'!$H$16:$H$24</c15:sqref>
                  </c15:fullRef>
                </c:ext>
              </c:extLst>
              <c:f>'We-Bars'!$H$19:$H$21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85-4ECB-82AD-461148CF7162}"/>
            </c:ext>
          </c:extLst>
        </c:ser>
        <c:ser>
          <c:idx val="6"/>
          <c:order val="6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'We-Bars'!$I$16:$I$24</c15:sqref>
                  </c15:fullRef>
                </c:ext>
              </c:extLst>
              <c:f>'We-Bars'!$I$19:$I$21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85-4ECB-82AD-461148CF7162}"/>
            </c:ext>
          </c:extLst>
        </c:ser>
        <c:ser>
          <c:idx val="7"/>
          <c:order val="7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'We-Bars'!$J$16:$J$24</c15:sqref>
                  </c15:fullRef>
                </c:ext>
              </c:extLst>
              <c:f>'We-Bars'!$J$19:$J$21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A85-4ECB-82AD-461148CF7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Deformation 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'We-Bars'!$C$16:$C$24</c15:sqref>
                  </c15:fullRef>
                </c:ext>
              </c:extLst>
              <c:f>'We-Bars'!$C$22:$C$24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CC-433E-8670-B882B9876B66}"/>
            </c:ext>
          </c:extLst>
        </c:ser>
        <c:ser>
          <c:idx val="1"/>
          <c:order val="1"/>
          <c:tx>
            <c:strRef>
              <c:f>'We-Bars'!$D$15</c:f>
              <c:strCache>
                <c:ptCount val="1"/>
                <c:pt idx="0">
                  <c:v>5%&lt; Deformation &lt;10%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'We-Bars'!$D$16:$D$24</c15:sqref>
                  </c15:fullRef>
                </c:ext>
              </c:extLst>
              <c:f>'We-Bars'!$D$22:$D$24</c:f>
              <c:numCache>
                <c:formatCode>General</c:formatCode>
                <c:ptCount val="3"/>
                <c:pt idx="0">
                  <c:v>0.62</c:v>
                </c:pt>
                <c:pt idx="1">
                  <c:v>0.39999999999999997</c:v>
                </c:pt>
                <c:pt idx="2">
                  <c:v>0.39999999999999997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CC-433E-8670-B882B9876B66}"/>
            </c:ext>
          </c:extLst>
        </c:ser>
        <c:ser>
          <c:idx val="2"/>
          <c:order val="2"/>
          <c:tx>
            <c:strRef>
              <c:f>'We-Bars'!$E$15</c:f>
              <c:strCache>
                <c:ptCount val="1"/>
                <c:pt idx="0">
                  <c:v>10%&lt; Deformation &lt;20%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'We-Bars'!$E$16:$E$24</c15:sqref>
                  </c15:fullRef>
                </c:ext>
              </c:extLst>
              <c:f>'We-Bars'!$E$22:$E$24</c:f>
              <c:numCache>
                <c:formatCode>General</c:formatCode>
                <c:ptCount val="3"/>
                <c:pt idx="0">
                  <c:v>1.1000000000000001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CC-433E-8670-B882B9876B66}"/>
            </c:ext>
          </c:extLst>
        </c:ser>
        <c:ser>
          <c:idx val="3"/>
          <c:order val="3"/>
          <c:tx>
            <c:strRef>
              <c:f>'We-Bars'!$F$15</c:f>
              <c:strCache>
                <c:ptCount val="1"/>
                <c:pt idx="0">
                  <c:v>Deformation &gt;20%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'We-Bars'!$F$16:$F$24</c15:sqref>
                  </c15:fullRef>
                </c:ext>
              </c:extLst>
              <c:f>'We-Bars'!$F$22:$F$24</c:f>
              <c:numCache>
                <c:formatCode>General</c:formatCode>
                <c:ptCount val="3"/>
                <c:pt idx="0">
                  <c:v>2.9</c:v>
                </c:pt>
                <c:pt idx="1">
                  <c:v>1.5</c:v>
                </c:pt>
                <c:pt idx="2">
                  <c:v>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CC-433E-8670-B882B9876B66}"/>
            </c:ext>
          </c:extLst>
        </c:ser>
        <c:ser>
          <c:idx val="4"/>
          <c:order val="4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'We-Bars'!$G$16:$G$24</c15:sqref>
                  </c15:fullRef>
                </c:ext>
              </c:extLst>
              <c:f>'We-Bars'!$G$22:$G$24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CC-433E-8670-B882B9876B66}"/>
            </c:ext>
          </c:extLst>
        </c:ser>
        <c:ser>
          <c:idx val="5"/>
          <c:order val="5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'We-Bars'!$H$16:$H$24</c15:sqref>
                  </c15:fullRef>
                </c:ext>
              </c:extLst>
              <c:f>'We-Bars'!$H$22:$H$24</c:f>
              <c:numCache>
                <c:formatCode>General</c:formatCode>
                <c:ptCount val="3"/>
                <c:pt idx="0">
                  <c:v>26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CC-433E-8670-B882B9876B66}"/>
            </c:ext>
          </c:extLst>
        </c:ser>
        <c:ser>
          <c:idx val="6"/>
          <c:order val="6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'We-Bars'!$I$16:$I$24</c15:sqref>
                  </c15:fullRef>
                </c:ext>
              </c:extLst>
              <c:f>'We-Bars'!$I$22:$I$24</c:f>
              <c:numCache>
                <c:formatCode>General</c:formatCode>
                <c:ptCount val="3"/>
                <c:pt idx="0">
                  <c:v>43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DCC-433E-8670-B882B9876B66}"/>
            </c:ext>
          </c:extLst>
        </c:ser>
        <c:ser>
          <c:idx val="7"/>
          <c:order val="7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'We-Bars'!$J$16:$J$24</c15:sqref>
                  </c15:fullRef>
                </c:ext>
              </c:extLst>
              <c:f>'We-Bars'!$J$22:$J$24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CC-433E-8670-B882B9876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Tanner,</a:t>
            </a:r>
            <a:r>
              <a:rPr lang="en-US" baseline="0"/>
              <a:t> 2003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'Tanner Deformation'!$I$2</c:f>
              <c:strCache>
                <c:ptCount val="1"/>
                <c:pt idx="0">
                  <c:v>&lt;5%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Deformation'!$I$3:$I$53</c:f>
              <c:numCache>
                <c:formatCode>General</c:formatCode>
                <c:ptCount val="51"/>
                <c:pt idx="0">
                  <c:v>0.2</c:v>
                </c:pt>
                <c:pt idx="17">
                  <c:v>0.2</c:v>
                </c:pt>
                <c:pt idx="3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05-4FB0-A88D-6230E643A470}"/>
            </c:ext>
          </c:extLst>
        </c:ser>
        <c:ser>
          <c:idx val="1"/>
          <c:order val="1"/>
          <c:tx>
            <c:strRef>
              <c:f>'Tanner Deformation'!$J$2</c:f>
              <c:strCache>
                <c:ptCount val="1"/>
                <c:pt idx="0">
                  <c:v>5% &gt; Deformation &gt;20%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Deformation'!$J$3:$J$53</c:f>
              <c:numCache>
                <c:formatCode>General</c:formatCode>
                <c:ptCount val="51"/>
                <c:pt idx="1">
                  <c:v>0.4</c:v>
                </c:pt>
                <c:pt idx="2">
                  <c:v>0.6</c:v>
                </c:pt>
                <c:pt idx="18">
                  <c:v>0.4</c:v>
                </c:pt>
                <c:pt idx="19">
                  <c:v>0.6</c:v>
                </c:pt>
                <c:pt idx="35">
                  <c:v>0.4</c:v>
                </c:pt>
                <c:pt idx="36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05-4FB0-A88D-6230E643A470}"/>
            </c:ext>
          </c:extLst>
        </c:ser>
        <c:ser>
          <c:idx val="2"/>
          <c:order val="2"/>
          <c:tx>
            <c:strRef>
              <c:f>'Tanner Deformation'!$K$2</c:f>
              <c:strCache>
                <c:ptCount val="1"/>
                <c:pt idx="0">
                  <c:v>10%&gt; Deformation &gt;20%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Deformation'!$K$3:$K$53</c:f>
              <c:numCache>
                <c:formatCode>General</c:formatCode>
                <c:ptCount val="51"/>
                <c:pt idx="3">
                  <c:v>0.8</c:v>
                </c:pt>
                <c:pt idx="4">
                  <c:v>1</c:v>
                </c:pt>
                <c:pt idx="20">
                  <c:v>0.8</c:v>
                </c:pt>
                <c:pt idx="21">
                  <c:v>1</c:v>
                </c:pt>
                <c:pt idx="37">
                  <c:v>0.8</c:v>
                </c:pt>
                <c:pt idx="3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05-4FB0-A88D-6230E643A470}"/>
            </c:ext>
          </c:extLst>
        </c:ser>
        <c:ser>
          <c:idx val="3"/>
          <c:order val="3"/>
          <c:tx>
            <c:strRef>
              <c:f>'Tanner Deformation'!$L$2</c:f>
              <c:strCache>
                <c:ptCount val="1"/>
                <c:pt idx="0">
                  <c:v>&gt;20%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Deformation'!$L$3:$L$53</c:f>
              <c:numCache>
                <c:formatCode>General</c:formatCode>
                <c:ptCount val="51"/>
                <c:pt idx="39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05-4FB0-A88D-6230E643A470}"/>
            </c:ext>
          </c:extLst>
        </c:ser>
        <c:ser>
          <c:idx val="4"/>
          <c:order val="4"/>
          <c:tx>
            <c:strRef>
              <c:f>'Tanner Deformation'!$M$2</c:f>
              <c:strCache>
                <c:ptCount val="1"/>
                <c:pt idx="0">
                  <c:v>Oscillatory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Deformation'!$M$3:$M$53</c:f>
              <c:numCache>
                <c:formatCode>General</c:formatCode>
                <c:ptCount val="51"/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22">
                  <c:v>2</c:v>
                </c:pt>
                <c:pt idx="23">
                  <c:v>4</c:v>
                </c:pt>
                <c:pt idx="24">
                  <c:v>6</c:v>
                </c:pt>
                <c:pt idx="40">
                  <c:v>4</c:v>
                </c:pt>
                <c:pt idx="4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05-4FB0-A88D-6230E643A470}"/>
            </c:ext>
          </c:extLst>
        </c:ser>
        <c:ser>
          <c:idx val="5"/>
          <c:order val="5"/>
          <c:tx>
            <c:strRef>
              <c:f>'Tanner Deformation'!$N$2</c:f>
              <c:strCache>
                <c:ptCount val="1"/>
                <c:pt idx="0">
                  <c:v>Bag Breakup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Deformation'!$N$3:$N$53</c:f>
              <c:numCache>
                <c:formatCode>General</c:formatCode>
                <c:ptCount val="51"/>
                <c:pt idx="8">
                  <c:v>8</c:v>
                </c:pt>
                <c:pt idx="9">
                  <c:v>10</c:v>
                </c:pt>
                <c:pt idx="10">
                  <c:v>20</c:v>
                </c:pt>
                <c:pt idx="11">
                  <c:v>40</c:v>
                </c:pt>
                <c:pt idx="12">
                  <c:v>60</c:v>
                </c:pt>
                <c:pt idx="25">
                  <c:v>8</c:v>
                </c:pt>
                <c:pt idx="26">
                  <c:v>10</c:v>
                </c:pt>
                <c:pt idx="27">
                  <c:v>20</c:v>
                </c:pt>
                <c:pt idx="28">
                  <c:v>40</c:v>
                </c:pt>
                <c:pt idx="29">
                  <c:v>60</c:v>
                </c:pt>
                <c:pt idx="42">
                  <c:v>8</c:v>
                </c:pt>
                <c:pt idx="43">
                  <c:v>10</c:v>
                </c:pt>
                <c:pt idx="44">
                  <c:v>20</c:v>
                </c:pt>
                <c:pt idx="45">
                  <c:v>40</c:v>
                </c:pt>
                <c:pt idx="46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0005-4FB0-A88D-6230E643A470}"/>
            </c:ext>
          </c:extLst>
        </c:ser>
        <c:ser>
          <c:idx val="6"/>
          <c:order val="6"/>
          <c:tx>
            <c:strRef>
              <c:f>'Tanner Deformation'!$O$2</c:f>
              <c:strCache>
                <c:ptCount val="1"/>
                <c:pt idx="0">
                  <c:v>Stripping Breakup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Deformation'!$O$3:$O$53</c:f>
              <c:numCache>
                <c:formatCode>General</c:formatCode>
                <c:ptCount val="51"/>
                <c:pt idx="13">
                  <c:v>80</c:v>
                </c:pt>
                <c:pt idx="14">
                  <c:v>100</c:v>
                </c:pt>
                <c:pt idx="15">
                  <c:v>200</c:v>
                </c:pt>
                <c:pt idx="30">
                  <c:v>80</c:v>
                </c:pt>
                <c:pt idx="31">
                  <c:v>100</c:v>
                </c:pt>
                <c:pt idx="32">
                  <c:v>200</c:v>
                </c:pt>
                <c:pt idx="47">
                  <c:v>80</c:v>
                </c:pt>
                <c:pt idx="48">
                  <c:v>100</c:v>
                </c:pt>
                <c:pt idx="49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3A-4CC7-867A-1D1BB7BE72D0}"/>
            </c:ext>
          </c:extLst>
        </c:ser>
        <c:ser>
          <c:idx val="7"/>
          <c:order val="7"/>
          <c:tx>
            <c:strRef>
              <c:f>'Tanner Deformation'!$P$2</c:f>
              <c:strCache>
                <c:ptCount val="1"/>
                <c:pt idx="0">
                  <c:v>Catastrophic Breakup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Deformation'!$P$3:$P$53</c:f>
              <c:numCache>
                <c:formatCode>General</c:formatCode>
                <c:ptCount val="51"/>
                <c:pt idx="16">
                  <c:v>400</c:v>
                </c:pt>
                <c:pt idx="33">
                  <c:v>400</c:v>
                </c:pt>
                <c:pt idx="50">
                  <c:v>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3A-4CC7-867A-1D1BB7BE7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01264"/>
        <c:axId val="38301744"/>
      </c:scatterChart>
      <c:valAx>
        <c:axId val="3830126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01744"/>
        <c:crosses val="autoZero"/>
        <c:crossBetween val="midCat"/>
      </c:valAx>
      <c:valAx>
        <c:axId val="3830174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01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O'Rourke,</a:t>
            </a:r>
            <a:r>
              <a:rPr lang="en-US" baseline="0"/>
              <a:t> 1987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'O''Rourke Deformation'!$I$2</c:f>
              <c:strCache>
                <c:ptCount val="1"/>
                <c:pt idx="0">
                  <c:v>&lt;5%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Deformation'!$I$3:$I$53</c:f>
              <c:numCache>
                <c:formatCode>General</c:formatCode>
                <c:ptCount val="51"/>
                <c:pt idx="0">
                  <c:v>0.2</c:v>
                </c:pt>
                <c:pt idx="17">
                  <c:v>0.2</c:v>
                </c:pt>
                <c:pt idx="3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DA4-4139-A1A5-F1E110F64B8C}"/>
            </c:ext>
          </c:extLst>
        </c:ser>
        <c:ser>
          <c:idx val="1"/>
          <c:order val="1"/>
          <c:tx>
            <c:strRef>
              <c:f>'O''Rourke Deformation'!$J$2</c:f>
              <c:strCache>
                <c:ptCount val="1"/>
                <c:pt idx="0">
                  <c:v>5% &gt; Deformation &gt;20%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Deformation'!$J$3:$J$53</c:f>
              <c:numCache>
                <c:formatCode>General</c:formatCode>
                <c:ptCount val="51"/>
                <c:pt idx="1">
                  <c:v>0.4</c:v>
                </c:pt>
                <c:pt idx="2">
                  <c:v>0.6</c:v>
                </c:pt>
                <c:pt idx="18">
                  <c:v>0.4</c:v>
                </c:pt>
                <c:pt idx="19">
                  <c:v>0.6</c:v>
                </c:pt>
                <c:pt idx="35">
                  <c:v>0.4</c:v>
                </c:pt>
                <c:pt idx="36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DA4-4139-A1A5-F1E110F64B8C}"/>
            </c:ext>
          </c:extLst>
        </c:ser>
        <c:ser>
          <c:idx val="2"/>
          <c:order val="2"/>
          <c:tx>
            <c:strRef>
              <c:f>'O''Rourke Deformation'!$K$2</c:f>
              <c:strCache>
                <c:ptCount val="1"/>
                <c:pt idx="0">
                  <c:v>10%&gt; Deformation &gt;20%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Deformation'!$K$3:$K$53</c:f>
              <c:numCache>
                <c:formatCode>General</c:formatCode>
                <c:ptCount val="51"/>
                <c:pt idx="3">
                  <c:v>0.8</c:v>
                </c:pt>
                <c:pt idx="4">
                  <c:v>1</c:v>
                </c:pt>
                <c:pt idx="20">
                  <c:v>0.8</c:v>
                </c:pt>
                <c:pt idx="21">
                  <c:v>1</c:v>
                </c:pt>
                <c:pt idx="37">
                  <c:v>0.8</c:v>
                </c:pt>
                <c:pt idx="3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DA4-4139-A1A5-F1E110F64B8C}"/>
            </c:ext>
          </c:extLst>
        </c:ser>
        <c:ser>
          <c:idx val="3"/>
          <c:order val="3"/>
          <c:tx>
            <c:strRef>
              <c:f>'O''Rourke Deformation'!$L$2</c:f>
              <c:strCache>
                <c:ptCount val="1"/>
                <c:pt idx="0">
                  <c:v>&gt;20%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Deformation'!$L$3:$L$53</c:f>
              <c:numCache>
                <c:formatCode>General</c:formatCode>
                <c:ptCount val="51"/>
                <c:pt idx="39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DA4-4139-A1A5-F1E110F64B8C}"/>
            </c:ext>
          </c:extLst>
        </c:ser>
        <c:ser>
          <c:idx val="4"/>
          <c:order val="4"/>
          <c:tx>
            <c:strRef>
              <c:f>'O''Rourke Deformation'!$M$2</c:f>
              <c:strCache>
                <c:ptCount val="1"/>
                <c:pt idx="0">
                  <c:v>Oscillatory deformation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Deformation'!$M$3:$M$53</c:f>
              <c:numCache>
                <c:formatCode>General</c:formatCode>
                <c:ptCount val="51"/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22">
                  <c:v>2</c:v>
                </c:pt>
                <c:pt idx="23">
                  <c:v>4</c:v>
                </c:pt>
                <c:pt idx="24">
                  <c:v>6</c:v>
                </c:pt>
                <c:pt idx="40">
                  <c:v>4</c:v>
                </c:pt>
                <c:pt idx="4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AD-41D7-BF21-7BC589E41D6D}"/>
            </c:ext>
          </c:extLst>
        </c:ser>
        <c:ser>
          <c:idx val="5"/>
          <c:order val="5"/>
          <c:tx>
            <c:strRef>
              <c:f>'O''Rourke Deformation'!$N$2</c:f>
              <c:strCache>
                <c:ptCount val="1"/>
                <c:pt idx="0">
                  <c:v>Bag Breakup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Deformation'!$N$3:$N$53</c:f>
              <c:numCache>
                <c:formatCode>General</c:formatCode>
                <c:ptCount val="51"/>
                <c:pt idx="8">
                  <c:v>8</c:v>
                </c:pt>
                <c:pt idx="9">
                  <c:v>10</c:v>
                </c:pt>
                <c:pt idx="10">
                  <c:v>20</c:v>
                </c:pt>
                <c:pt idx="11">
                  <c:v>40</c:v>
                </c:pt>
                <c:pt idx="12">
                  <c:v>60</c:v>
                </c:pt>
                <c:pt idx="13">
                  <c:v>80</c:v>
                </c:pt>
                <c:pt idx="14">
                  <c:v>100</c:v>
                </c:pt>
                <c:pt idx="15">
                  <c:v>200</c:v>
                </c:pt>
                <c:pt idx="16">
                  <c:v>400</c:v>
                </c:pt>
                <c:pt idx="25">
                  <c:v>8</c:v>
                </c:pt>
                <c:pt idx="26">
                  <c:v>10</c:v>
                </c:pt>
                <c:pt idx="27">
                  <c:v>20</c:v>
                </c:pt>
                <c:pt idx="28">
                  <c:v>40</c:v>
                </c:pt>
                <c:pt idx="29">
                  <c:v>60</c:v>
                </c:pt>
                <c:pt idx="30">
                  <c:v>80</c:v>
                </c:pt>
                <c:pt idx="31">
                  <c:v>100</c:v>
                </c:pt>
                <c:pt idx="32">
                  <c:v>200</c:v>
                </c:pt>
                <c:pt idx="33">
                  <c:v>400</c:v>
                </c:pt>
                <c:pt idx="42">
                  <c:v>8</c:v>
                </c:pt>
                <c:pt idx="43">
                  <c:v>10</c:v>
                </c:pt>
                <c:pt idx="44">
                  <c:v>20</c:v>
                </c:pt>
                <c:pt idx="45">
                  <c:v>40</c:v>
                </c:pt>
                <c:pt idx="46">
                  <c:v>60</c:v>
                </c:pt>
                <c:pt idx="47">
                  <c:v>80</c:v>
                </c:pt>
                <c:pt idx="48">
                  <c:v>100</c:v>
                </c:pt>
                <c:pt idx="49">
                  <c:v>200</c:v>
                </c:pt>
                <c:pt idx="50">
                  <c:v>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AD-41D7-BF21-7BC589E41D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01264"/>
        <c:axId val="38301744"/>
      </c:scatterChart>
      <c:valAx>
        <c:axId val="3830126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01744"/>
        <c:crosses val="autoZero"/>
        <c:crossBetween val="midCat"/>
      </c:valAx>
      <c:valAx>
        <c:axId val="3830174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01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9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186300</xdr:colOff>
      <xdr:row>1</xdr:row>
      <xdr:rowOff>138112</xdr:rowOff>
    </xdr:from>
    <xdr:to>
      <xdr:col>12</xdr:col>
      <xdr:colOff>4762</xdr:colOff>
      <xdr:row>20</xdr:row>
      <xdr:rowOff>168423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F0BE5D-DF08-B21E-67D8-015D9616F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44113" y="366712"/>
          <a:ext cx="4352362" cy="34688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71437</xdr:colOff>
      <xdr:row>0</xdr:row>
      <xdr:rowOff>85725</xdr:rowOff>
    </xdr:from>
    <xdr:to>
      <xdr:col>18</xdr:col>
      <xdr:colOff>252412</xdr:colOff>
      <xdr:row>18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7E638E-119E-4D5F-AE6A-01EA3F2A2D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104775</xdr:colOff>
      <xdr:row>18</xdr:row>
      <xdr:rowOff>180974</xdr:rowOff>
    </xdr:from>
    <xdr:to>
      <xdr:col>18</xdr:col>
      <xdr:colOff>285750</xdr:colOff>
      <xdr:row>36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9CE3CC-AC09-443A-A5F0-60C3EE42802D}"/>
            </a:ext>
            <a:ext uri="{147F2762-F138-4A5C-976F-8EAC2B608ADB}">
              <a16:predDERef xmlns:a16="http://schemas.microsoft.com/office/drawing/2014/main" pred="{EE5EB5DC-29B0-A907-26A9-AFC875FFFD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142875</xdr:colOff>
      <xdr:row>36</xdr:row>
      <xdr:rowOff>61913</xdr:rowOff>
    </xdr:from>
    <xdr:to>
      <xdr:col>18</xdr:col>
      <xdr:colOff>323850</xdr:colOff>
      <xdr:row>53</xdr:row>
      <xdr:rowOff>71439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B0FBD2-9E30-4FC8-A1F3-E5C83FB10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138112</xdr:colOff>
      <xdr:row>0</xdr:row>
      <xdr:rowOff>42863</xdr:rowOff>
    </xdr:from>
    <xdr:to>
      <xdr:col>19</xdr:col>
      <xdr:colOff>319087</xdr:colOff>
      <xdr:row>18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5EB5DC-29B0-A907-26A9-AFC875FFF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128587</xdr:colOff>
      <xdr:row>1</xdr:row>
      <xdr:rowOff>33337</xdr:rowOff>
    </xdr:from>
    <xdr:to>
      <xdr:col>36</xdr:col>
      <xdr:colOff>47624</xdr:colOff>
      <xdr:row>23</xdr:row>
      <xdr:rowOff>61913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053F58F-6452-42E4-AA9A-E42694BA6A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628650</xdr:colOff>
      <xdr:row>8</xdr:row>
      <xdr:rowOff>100013</xdr:rowOff>
    </xdr:from>
    <xdr:to>
      <xdr:col>35</xdr:col>
      <xdr:colOff>528637</xdr:colOff>
      <xdr:row>30</xdr:row>
      <xdr:rowOff>109538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6341F8D-50D8-457D-871F-5D3DAAB95783}"/>
            </a:ext>
            <a:ext uri="{147F2762-F138-4A5C-976F-8EAC2B608ADB}">
              <a16:predDERef xmlns:a16="http://schemas.microsoft.com/office/drawing/2014/main" pred="{EE5EB5DC-29B0-A907-26A9-AFC875FFFD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33337</xdr:colOff>
      <xdr:row>27</xdr:row>
      <xdr:rowOff>133352</xdr:rowOff>
    </xdr:from>
    <xdr:to>
      <xdr:col>35</xdr:col>
      <xdr:colOff>576262</xdr:colOff>
      <xdr:row>49</xdr:row>
      <xdr:rowOff>128589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1F8F24B-EA1B-46B4-9EE9-EE8992AF5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19</xdr:col>
      <xdr:colOff>366712</xdr:colOff>
      <xdr:row>1</xdr:row>
      <xdr:rowOff>71437</xdr:rowOff>
    </xdr:from>
    <xdr:to>
      <xdr:col>26</xdr:col>
      <xdr:colOff>462002</xdr:colOff>
      <xdr:row>22</xdr:row>
      <xdr:rowOff>97982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ACD364D-9E9A-C49B-161B-BA024D40D7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39787" y="252412"/>
          <a:ext cx="4629190" cy="3827020"/>
        </a:xfrm>
        <a:prstGeom prst="rect">
          <a:avLst/>
        </a:prstGeom>
      </xdr:spPr>
    </xdr:pic>
    <xdr:clientData/>
  </xdr:twoCellAnchor>
  <xdr:twoCellAnchor>
    <xdr:from>
      <xdr:col>12</xdr:col>
      <xdr:colOff>104775</xdr:colOff>
      <xdr:row>19</xdr:row>
      <xdr:rowOff>4763</xdr:rowOff>
    </xdr:from>
    <xdr:to>
      <xdr:col>19</xdr:col>
      <xdr:colOff>285750</xdr:colOff>
      <xdr:row>37</xdr:row>
      <xdr:rowOff>33337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220E6B4-A057-40EE-AD19-0D09E2EF4D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128588</xdr:colOff>
      <xdr:row>37</xdr:row>
      <xdr:rowOff>147638</xdr:rowOff>
    </xdr:from>
    <xdr:to>
      <xdr:col>19</xdr:col>
      <xdr:colOff>309563</xdr:colOff>
      <xdr:row>55</xdr:row>
      <xdr:rowOff>176212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BA0CBC9-08E5-4D5E-B15C-855F1D407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142874</xdr:colOff>
      <xdr:row>3</xdr:row>
      <xdr:rowOff>19049</xdr:rowOff>
    </xdr:from>
    <xdr:to>
      <xdr:col>26</xdr:col>
      <xdr:colOff>419100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715425-F5CD-E959-05AB-C4385C2326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57149</xdr:colOff>
      <xdr:row>2</xdr:row>
      <xdr:rowOff>133349</xdr:rowOff>
    </xdr:from>
    <xdr:to>
      <xdr:col>25</xdr:col>
      <xdr:colOff>333375</xdr:colOff>
      <xdr:row>23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23BCDC-257C-4402-B377-B20099AEC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2"/>
  <sheetViews>
    <sheetView workbookViewId="0">
      <selection activeCell="H40" sqref="H40"/>
    </sheetView>
  </sheetViews>
  <sheetFormatPr defaultRowHeight="14.25" x14ac:dyDescent="0.45"/>
  <cols>
    <col min="1" max="1" width="20.1328125" customWidth="1"/>
    <col min="2" max="2" width="12.1328125" customWidth="1"/>
    <col min="4" max="4" width="12.265625" customWidth="1"/>
    <col min="5" max="5" width="21.3984375" customWidth="1"/>
    <col min="16" max="16" width="16.265625" customWidth="1"/>
    <col min="17" max="17" width="16.59765625" customWidth="1"/>
    <col min="19" max="19" width="7.59765625" customWidth="1"/>
    <col min="22" max="22" width="14" customWidth="1"/>
    <col min="23" max="23" width="15.1328125" customWidth="1"/>
  </cols>
  <sheetData>
    <row r="1" spans="1:23" ht="18" x14ac:dyDescent="0.55000000000000004">
      <c r="A1" s="20" t="s">
        <v>0</v>
      </c>
      <c r="B1" s="20"/>
      <c r="C1" s="20"/>
      <c r="D1" s="20"/>
      <c r="E1" s="20"/>
      <c r="H1" s="3"/>
      <c r="I1" s="3"/>
      <c r="M1" s="5" t="s">
        <v>1</v>
      </c>
      <c r="N1" s="1" t="s">
        <v>2</v>
      </c>
      <c r="O1" s="1" t="s">
        <v>3</v>
      </c>
      <c r="P1" s="6" t="s">
        <v>4</v>
      </c>
      <c r="Q1" s="6" t="s">
        <v>5</v>
      </c>
      <c r="R1" s="1"/>
      <c r="S1" s="1" t="s">
        <v>6</v>
      </c>
      <c r="T1" s="1" t="s">
        <v>7</v>
      </c>
      <c r="V1" s="1" t="s">
        <v>8</v>
      </c>
      <c r="W1" s="1" t="s">
        <v>9</v>
      </c>
    </row>
    <row r="2" spans="1:23" x14ac:dyDescent="0.4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M2" s="4">
        <v>0.2</v>
      </c>
      <c r="N2">
        <f>10^-3</f>
        <v>1E-3</v>
      </c>
      <c r="O2">
        <f>SQRT(M2)/N2</f>
        <v>447.21359549995793</v>
      </c>
      <c r="P2" s="8">
        <f>($C$9^2)/($C$5*$C$7*(N2^2))</f>
        <v>1.1322611903507133E-2</v>
      </c>
      <c r="Q2" s="7">
        <f>SQRT(M2*$C$7/(P2*$C$4))</f>
        <v>1.0294785738216847</v>
      </c>
      <c r="S2" s="4">
        <f>$C$4*(Q2^2)*P2/$C$7</f>
        <v>0.20000000000000007</v>
      </c>
      <c r="T2">
        <f>$C$9/SQRT($C$5*P2*$C$7)</f>
        <v>9.999999999999998E-4</v>
      </c>
    </row>
    <row r="3" spans="1:23" x14ac:dyDescent="0.45">
      <c r="A3" s="2"/>
      <c r="B3" s="2"/>
      <c r="C3" s="2"/>
      <c r="D3" s="2"/>
      <c r="E3" s="2"/>
      <c r="M3" s="4">
        <v>0.4</v>
      </c>
      <c r="N3">
        <v>1E-3</v>
      </c>
      <c r="O3">
        <f>SQRT(M3)/N3</f>
        <v>632.45553203367592</v>
      </c>
      <c r="P3" s="8">
        <f>($C$9^2)/($C$5*$C$7*(N3^2))</f>
        <v>1.1322611903507133E-2</v>
      </c>
      <c r="Q3" s="7">
        <f>SQRT(M3*$C$7/(P3*$C$4))</f>
        <v>1.455902561271138</v>
      </c>
      <c r="S3" s="4">
        <f>$C$4*(Q3^2)*P3/$C$7</f>
        <v>0.40000000000000013</v>
      </c>
      <c r="T3">
        <f>$C$9/SQRT($C$5*P3*$C$7)</f>
        <v>9.999999999999998E-4</v>
      </c>
    </row>
    <row r="4" spans="1:23" x14ac:dyDescent="0.45">
      <c r="A4" t="s">
        <v>15</v>
      </c>
      <c r="B4" t="s">
        <v>16</v>
      </c>
      <c r="C4">
        <v>1.18</v>
      </c>
      <c r="D4" t="s">
        <v>17</v>
      </c>
      <c r="E4" t="s">
        <v>18</v>
      </c>
      <c r="M4" s="4">
        <v>0.6</v>
      </c>
      <c r="N4">
        <f t="shared" ref="N4:N18" si="0">10^-3</f>
        <v>1E-3</v>
      </c>
      <c r="O4">
        <f t="shared" ref="O4:O42" si="1">SQRT(M4)/N4</f>
        <v>774.59666924148337</v>
      </c>
      <c r="P4" s="8">
        <f t="shared" ref="P4:P42" si="2">($C$9^2)/($C$5*$C$7*(N4^2))</f>
        <v>1.1322611903507133E-2</v>
      </c>
      <c r="Q4" s="7">
        <f t="shared" ref="Q4:Q42" si="3">SQRT(M4*$C$7/(P4*$C$4))</f>
        <v>1.7831091951627047</v>
      </c>
      <c r="S4" s="4">
        <f t="shared" ref="S4:S42" si="4">$C$4*(Q4^2)*P4/$C$7</f>
        <v>0.6</v>
      </c>
      <c r="T4">
        <f t="shared" ref="T4:T42" si="5">$C$9/SQRT($C$5*P4*$C$7)</f>
        <v>9.999999999999998E-4</v>
      </c>
    </row>
    <row r="5" spans="1:23" x14ac:dyDescent="0.45">
      <c r="A5" t="s">
        <v>19</v>
      </c>
      <c r="B5" t="s">
        <v>20</v>
      </c>
      <c r="C5">
        <v>997</v>
      </c>
      <c r="D5" t="s">
        <v>17</v>
      </c>
      <c r="E5" t="s">
        <v>21</v>
      </c>
      <c r="M5" s="4">
        <v>0.8</v>
      </c>
      <c r="N5">
        <f t="shared" si="0"/>
        <v>1E-3</v>
      </c>
      <c r="O5">
        <f t="shared" si="1"/>
        <v>894.42719099991587</v>
      </c>
      <c r="P5" s="8">
        <f t="shared" si="2"/>
        <v>1.1322611903507133E-2</v>
      </c>
      <c r="Q5" s="7">
        <f t="shared" si="3"/>
        <v>2.0589571476433695</v>
      </c>
      <c r="S5" s="4">
        <f t="shared" si="4"/>
        <v>0.80000000000000027</v>
      </c>
      <c r="T5">
        <f t="shared" si="5"/>
        <v>9.999999999999998E-4</v>
      </c>
    </row>
    <row r="6" spans="1:23" x14ac:dyDescent="0.45">
      <c r="A6" t="s">
        <v>22</v>
      </c>
      <c r="B6" t="s">
        <v>23</v>
      </c>
      <c r="C6">
        <v>2.0000000000000001E-4</v>
      </c>
      <c r="D6" t="s">
        <v>24</v>
      </c>
      <c r="E6" t="s">
        <v>25</v>
      </c>
      <c r="M6" s="4">
        <v>1</v>
      </c>
      <c r="N6">
        <f t="shared" si="0"/>
        <v>1E-3</v>
      </c>
      <c r="O6">
        <f t="shared" si="1"/>
        <v>1000</v>
      </c>
      <c r="P6" s="8">
        <f t="shared" si="2"/>
        <v>1.1322611903507133E-2</v>
      </c>
      <c r="Q6" s="7">
        <f t="shared" si="3"/>
        <v>2.3019840724448222</v>
      </c>
      <c r="S6" s="4">
        <f t="shared" si="4"/>
        <v>1</v>
      </c>
      <c r="T6">
        <f t="shared" si="5"/>
        <v>9.999999999999998E-4</v>
      </c>
    </row>
    <row r="7" spans="1:23" x14ac:dyDescent="0.45">
      <c r="A7" t="s">
        <v>26</v>
      </c>
      <c r="B7" t="s">
        <v>27</v>
      </c>
      <c r="C7">
        <v>7.0800000000000002E-2</v>
      </c>
      <c r="D7" t="s">
        <v>28</v>
      </c>
      <c r="E7" t="s">
        <v>21</v>
      </c>
      <c r="M7" s="4">
        <v>2</v>
      </c>
      <c r="N7">
        <f t="shared" si="0"/>
        <v>1E-3</v>
      </c>
      <c r="O7">
        <f t="shared" si="1"/>
        <v>1414.2135623730951</v>
      </c>
      <c r="P7" s="8">
        <f t="shared" si="2"/>
        <v>1.1322611903507133E-2</v>
      </c>
      <c r="Q7" s="7">
        <f t="shared" si="3"/>
        <v>3.2554970956183169</v>
      </c>
      <c r="S7" s="4">
        <f t="shared" si="4"/>
        <v>2</v>
      </c>
      <c r="T7">
        <f t="shared" si="5"/>
        <v>9.999999999999998E-4</v>
      </c>
    </row>
    <row r="8" spans="1:23" x14ac:dyDescent="0.45">
      <c r="A8" t="s">
        <v>29</v>
      </c>
      <c r="B8" t="s">
        <v>30</v>
      </c>
      <c r="C8">
        <v>50</v>
      </c>
      <c r="D8" t="s">
        <v>31</v>
      </c>
      <c r="E8" t="s">
        <v>25</v>
      </c>
      <c r="M8" s="4">
        <v>4</v>
      </c>
      <c r="N8">
        <f t="shared" si="0"/>
        <v>1E-3</v>
      </c>
      <c r="O8">
        <f t="shared" si="1"/>
        <v>2000</v>
      </c>
      <c r="P8" s="8">
        <f t="shared" si="2"/>
        <v>1.1322611903507133E-2</v>
      </c>
      <c r="Q8" s="7">
        <f t="shared" si="3"/>
        <v>4.6039681448896443</v>
      </c>
      <c r="S8" s="4">
        <f t="shared" si="4"/>
        <v>4</v>
      </c>
      <c r="T8">
        <f t="shared" si="5"/>
        <v>9.999999999999998E-4</v>
      </c>
    </row>
    <row r="9" spans="1:23" x14ac:dyDescent="0.45">
      <c r="A9" t="s">
        <v>32</v>
      </c>
      <c r="B9" t="s">
        <v>33</v>
      </c>
      <c r="C9">
        <f>8.94 * 10^-4</f>
        <v>8.9400000000000005E-4</v>
      </c>
      <c r="D9" t="s">
        <v>34</v>
      </c>
      <c r="E9" t="s">
        <v>21</v>
      </c>
      <c r="M9" s="4">
        <v>6</v>
      </c>
      <c r="N9">
        <f t="shared" si="0"/>
        <v>1E-3</v>
      </c>
      <c r="O9">
        <f t="shared" si="1"/>
        <v>2449.4897427831779</v>
      </c>
      <c r="P9" s="8">
        <f t="shared" si="2"/>
        <v>1.1322611903507133E-2</v>
      </c>
      <c r="Q9" s="7">
        <f t="shared" si="3"/>
        <v>5.6386863735038402</v>
      </c>
      <c r="S9" s="4">
        <f t="shared" si="4"/>
        <v>6</v>
      </c>
      <c r="T9">
        <f t="shared" si="5"/>
        <v>9.999999999999998E-4</v>
      </c>
    </row>
    <row r="10" spans="1:23" x14ac:dyDescent="0.45">
      <c r="A10" t="s">
        <v>35</v>
      </c>
      <c r="B10" t="s">
        <v>36</v>
      </c>
      <c r="C10">
        <f>18.5*10^-4</f>
        <v>1.8500000000000001E-3</v>
      </c>
      <c r="D10" t="s">
        <v>34</v>
      </c>
      <c r="E10" t="s">
        <v>18</v>
      </c>
      <c r="M10" s="4">
        <v>8</v>
      </c>
      <c r="N10">
        <f t="shared" si="0"/>
        <v>1E-3</v>
      </c>
      <c r="O10">
        <f t="shared" si="1"/>
        <v>2828.4271247461902</v>
      </c>
      <c r="P10" s="8">
        <f t="shared" si="2"/>
        <v>1.1322611903507133E-2</v>
      </c>
      <c r="Q10" s="7">
        <f t="shared" si="3"/>
        <v>6.5109941912366338</v>
      </c>
      <c r="S10" s="4">
        <f t="shared" si="4"/>
        <v>8</v>
      </c>
      <c r="T10">
        <f t="shared" si="5"/>
        <v>9.999999999999998E-4</v>
      </c>
    </row>
    <row r="11" spans="1:23" x14ac:dyDescent="0.45">
      <c r="M11" s="4">
        <v>10</v>
      </c>
      <c r="N11">
        <f t="shared" si="0"/>
        <v>1E-3</v>
      </c>
      <c r="O11">
        <f t="shared" si="1"/>
        <v>3162.2776601683795</v>
      </c>
      <c r="P11" s="8">
        <f t="shared" si="2"/>
        <v>1.1322611903507133E-2</v>
      </c>
      <c r="Q11" s="7">
        <f t="shared" si="3"/>
        <v>7.2795128063556893</v>
      </c>
      <c r="S11" s="4">
        <f t="shared" si="4"/>
        <v>10</v>
      </c>
      <c r="T11">
        <f t="shared" si="5"/>
        <v>9.999999999999998E-4</v>
      </c>
    </row>
    <row r="12" spans="1:23" x14ac:dyDescent="0.45">
      <c r="M12" s="4">
        <v>20</v>
      </c>
      <c r="N12">
        <f t="shared" si="0"/>
        <v>1E-3</v>
      </c>
      <c r="O12">
        <f t="shared" si="1"/>
        <v>4472.1359549995796</v>
      </c>
      <c r="P12" s="8">
        <f t="shared" si="2"/>
        <v>1.1322611903507133E-2</v>
      </c>
      <c r="Q12" s="7">
        <f t="shared" si="3"/>
        <v>10.294785738216845</v>
      </c>
      <c r="S12" s="4">
        <f t="shared" si="4"/>
        <v>19.999999999999996</v>
      </c>
      <c r="T12">
        <f t="shared" si="5"/>
        <v>9.999999999999998E-4</v>
      </c>
    </row>
    <row r="13" spans="1:23" x14ac:dyDescent="0.45">
      <c r="M13" s="4">
        <v>40</v>
      </c>
      <c r="N13">
        <f t="shared" si="0"/>
        <v>1E-3</v>
      </c>
      <c r="O13">
        <f t="shared" si="1"/>
        <v>6324.555320336759</v>
      </c>
      <c r="P13" s="8">
        <f t="shared" si="2"/>
        <v>1.1322611903507133E-2</v>
      </c>
      <c r="Q13" s="7">
        <f t="shared" si="3"/>
        <v>14.559025612711379</v>
      </c>
      <c r="S13" s="4">
        <f t="shared" si="4"/>
        <v>40</v>
      </c>
      <c r="T13">
        <f t="shared" si="5"/>
        <v>9.999999999999998E-4</v>
      </c>
    </row>
    <row r="14" spans="1:23" x14ac:dyDescent="0.45">
      <c r="M14" s="4">
        <v>60</v>
      </c>
      <c r="N14">
        <f t="shared" si="0"/>
        <v>1E-3</v>
      </c>
      <c r="O14">
        <f t="shared" si="1"/>
        <v>7745.9666924148341</v>
      </c>
      <c r="P14" s="8">
        <f t="shared" si="2"/>
        <v>1.1322611903507133E-2</v>
      </c>
      <c r="Q14" s="7">
        <f t="shared" si="3"/>
        <v>17.831091951627048</v>
      </c>
      <c r="S14" s="4">
        <f t="shared" si="4"/>
        <v>60</v>
      </c>
      <c r="T14">
        <f t="shared" si="5"/>
        <v>9.999999999999998E-4</v>
      </c>
    </row>
    <row r="15" spans="1:23" x14ac:dyDescent="0.45">
      <c r="M15" s="4">
        <v>80</v>
      </c>
      <c r="N15">
        <f t="shared" si="0"/>
        <v>1E-3</v>
      </c>
      <c r="O15">
        <f t="shared" si="1"/>
        <v>8944.2719099991591</v>
      </c>
      <c r="P15" s="8">
        <f t="shared" si="2"/>
        <v>1.1322611903507133E-2</v>
      </c>
      <c r="Q15" s="7">
        <f t="shared" si="3"/>
        <v>20.58957147643369</v>
      </c>
      <c r="S15" s="4">
        <f t="shared" si="4"/>
        <v>79.999999999999986</v>
      </c>
      <c r="T15">
        <f t="shared" si="5"/>
        <v>9.999999999999998E-4</v>
      </c>
    </row>
    <row r="16" spans="1:23" x14ac:dyDescent="0.45">
      <c r="M16" s="4">
        <v>100</v>
      </c>
      <c r="N16">
        <f t="shared" si="0"/>
        <v>1E-3</v>
      </c>
      <c r="O16">
        <f t="shared" si="1"/>
        <v>10000</v>
      </c>
      <c r="P16" s="8">
        <f t="shared" si="2"/>
        <v>1.1322611903507133E-2</v>
      </c>
      <c r="Q16" s="7">
        <f t="shared" si="3"/>
        <v>23.019840724448223</v>
      </c>
      <c r="S16" s="4">
        <f t="shared" si="4"/>
        <v>99.999999999999986</v>
      </c>
      <c r="T16">
        <f t="shared" si="5"/>
        <v>9.999999999999998E-4</v>
      </c>
    </row>
    <row r="17" spans="7:20" x14ac:dyDescent="0.45">
      <c r="M17" s="4">
        <v>200</v>
      </c>
      <c r="N17">
        <f t="shared" si="0"/>
        <v>1E-3</v>
      </c>
      <c r="O17">
        <f t="shared" si="1"/>
        <v>14142.13562373095</v>
      </c>
      <c r="P17" s="8">
        <f t="shared" si="2"/>
        <v>1.1322611903507133E-2</v>
      </c>
      <c r="Q17" s="7">
        <f t="shared" si="3"/>
        <v>32.554970956183169</v>
      </c>
      <c r="S17" s="4">
        <f t="shared" si="4"/>
        <v>199.99999999999997</v>
      </c>
      <c r="T17">
        <f t="shared" si="5"/>
        <v>9.999999999999998E-4</v>
      </c>
    </row>
    <row r="18" spans="7:20" x14ac:dyDescent="0.45">
      <c r="M18" s="4">
        <v>400</v>
      </c>
      <c r="N18">
        <f t="shared" si="0"/>
        <v>1E-3</v>
      </c>
      <c r="O18">
        <f t="shared" si="1"/>
        <v>20000</v>
      </c>
      <c r="P18" s="8">
        <f t="shared" si="2"/>
        <v>1.1322611903507133E-2</v>
      </c>
      <c r="Q18" s="7">
        <f t="shared" si="3"/>
        <v>46.039681448896445</v>
      </c>
      <c r="S18" s="4">
        <f t="shared" si="4"/>
        <v>399.99999999999994</v>
      </c>
      <c r="T18">
        <f t="shared" si="5"/>
        <v>9.999999999999998E-4</v>
      </c>
    </row>
    <row r="19" spans="7:20" x14ac:dyDescent="0.45">
      <c r="M19" s="4">
        <v>0.2</v>
      </c>
      <c r="N19">
        <v>0.01</v>
      </c>
      <c r="O19">
        <f t="shared" si="1"/>
        <v>44.721359549995789</v>
      </c>
      <c r="P19" s="8">
        <f t="shared" si="2"/>
        <v>1.1322611903507133E-4</v>
      </c>
      <c r="Q19" s="7">
        <f t="shared" si="3"/>
        <v>10.294785738216845</v>
      </c>
      <c r="S19" s="4">
        <f t="shared" si="4"/>
        <v>0.19999999999999996</v>
      </c>
      <c r="T19">
        <f t="shared" si="5"/>
        <v>0.01</v>
      </c>
    </row>
    <row r="20" spans="7:20" x14ac:dyDescent="0.45">
      <c r="M20" s="4">
        <v>0.4</v>
      </c>
      <c r="N20">
        <f>10^-2</f>
        <v>0.01</v>
      </c>
      <c r="O20">
        <f t="shared" si="1"/>
        <v>63.245553203367585</v>
      </c>
      <c r="P20" s="8">
        <f t="shared" si="2"/>
        <v>1.1322611903507133E-4</v>
      </c>
      <c r="Q20" s="7">
        <f t="shared" si="3"/>
        <v>14.559025612711379</v>
      </c>
      <c r="S20" s="4">
        <f t="shared" si="4"/>
        <v>0.39999999999999991</v>
      </c>
      <c r="T20">
        <f t="shared" si="5"/>
        <v>0.01</v>
      </c>
    </row>
    <row r="21" spans="7:20" x14ac:dyDescent="0.45">
      <c r="M21" s="4">
        <v>0.6</v>
      </c>
      <c r="N21">
        <f t="shared" ref="N21:N35" si="6">10^-2</f>
        <v>0.01</v>
      </c>
      <c r="O21">
        <f t="shared" si="1"/>
        <v>77.459666924148337</v>
      </c>
      <c r="P21" s="8">
        <f t="shared" si="2"/>
        <v>1.1322611903507133E-4</v>
      </c>
      <c r="Q21" s="7">
        <f t="shared" si="3"/>
        <v>17.831091951627048</v>
      </c>
      <c r="S21" s="4">
        <f t="shared" si="4"/>
        <v>0.60000000000000009</v>
      </c>
      <c r="T21">
        <f t="shared" si="5"/>
        <v>0.01</v>
      </c>
    </row>
    <row r="22" spans="7:20" x14ac:dyDescent="0.45">
      <c r="M22" s="4">
        <v>0.8</v>
      </c>
      <c r="N22">
        <f t="shared" si="6"/>
        <v>0.01</v>
      </c>
      <c r="O22">
        <f t="shared" si="1"/>
        <v>89.442719099991578</v>
      </c>
      <c r="P22" s="8">
        <f t="shared" si="2"/>
        <v>1.1322611903507133E-4</v>
      </c>
      <c r="Q22" s="7">
        <f t="shared" si="3"/>
        <v>20.58957147643369</v>
      </c>
      <c r="S22" s="4">
        <f t="shared" si="4"/>
        <v>0.79999999999999982</v>
      </c>
      <c r="T22">
        <f t="shared" si="5"/>
        <v>0.01</v>
      </c>
    </row>
    <row r="23" spans="7:20" x14ac:dyDescent="0.45">
      <c r="M23" s="4">
        <v>1</v>
      </c>
      <c r="N23">
        <f t="shared" si="6"/>
        <v>0.01</v>
      </c>
      <c r="O23">
        <f t="shared" si="1"/>
        <v>100</v>
      </c>
      <c r="P23" s="8">
        <f t="shared" si="2"/>
        <v>1.1322611903507133E-4</v>
      </c>
      <c r="Q23" s="7">
        <f t="shared" si="3"/>
        <v>23.019840724448223</v>
      </c>
      <c r="S23" s="4">
        <f t="shared" si="4"/>
        <v>0.99999999999999978</v>
      </c>
      <c r="T23">
        <f t="shared" si="5"/>
        <v>0.01</v>
      </c>
    </row>
    <row r="24" spans="7:20" x14ac:dyDescent="0.45">
      <c r="M24" s="4">
        <v>2</v>
      </c>
      <c r="N24">
        <f t="shared" si="6"/>
        <v>0.01</v>
      </c>
      <c r="O24">
        <f t="shared" si="1"/>
        <v>141.42135623730951</v>
      </c>
      <c r="P24" s="8">
        <f t="shared" si="2"/>
        <v>1.1322611903507133E-4</v>
      </c>
      <c r="Q24" s="7">
        <f t="shared" si="3"/>
        <v>32.554970956183169</v>
      </c>
      <c r="S24" s="4">
        <f t="shared" si="4"/>
        <v>1.9999999999999996</v>
      </c>
      <c r="T24">
        <f t="shared" si="5"/>
        <v>0.01</v>
      </c>
    </row>
    <row r="25" spans="7:20" x14ac:dyDescent="0.45">
      <c r="G25" s="21" t="s">
        <v>37</v>
      </c>
      <c r="H25" s="21"/>
      <c r="I25" s="21"/>
      <c r="J25" s="21"/>
      <c r="K25" s="21"/>
      <c r="L25" s="21"/>
      <c r="M25" s="4">
        <v>4</v>
      </c>
      <c r="N25">
        <f t="shared" si="6"/>
        <v>0.01</v>
      </c>
      <c r="O25">
        <f t="shared" si="1"/>
        <v>200</v>
      </c>
      <c r="P25" s="8">
        <f t="shared" si="2"/>
        <v>1.1322611903507133E-4</v>
      </c>
      <c r="Q25" s="7">
        <f t="shared" si="3"/>
        <v>46.039681448896445</v>
      </c>
      <c r="S25" s="4">
        <f t="shared" si="4"/>
        <v>3.9999999999999991</v>
      </c>
      <c r="T25">
        <f t="shared" si="5"/>
        <v>0.01</v>
      </c>
    </row>
    <row r="26" spans="7:20" x14ac:dyDescent="0.45">
      <c r="G26" s="21" t="s">
        <v>38</v>
      </c>
      <c r="H26" s="21"/>
      <c r="I26" s="21"/>
      <c r="J26" s="21"/>
      <c r="K26" s="21"/>
      <c r="L26" s="21"/>
      <c r="M26" s="4">
        <v>6</v>
      </c>
      <c r="N26">
        <f t="shared" si="6"/>
        <v>0.01</v>
      </c>
      <c r="O26">
        <f t="shared" si="1"/>
        <v>244.94897427831779</v>
      </c>
      <c r="P26" s="8">
        <f t="shared" si="2"/>
        <v>1.1322611903507133E-4</v>
      </c>
      <c r="Q26" s="7">
        <f t="shared" si="3"/>
        <v>56.386863735038403</v>
      </c>
      <c r="S26" s="4">
        <f t="shared" si="4"/>
        <v>5.9999999999999991</v>
      </c>
      <c r="T26">
        <f t="shared" si="5"/>
        <v>0.01</v>
      </c>
    </row>
    <row r="27" spans="7:20" x14ac:dyDescent="0.45">
      <c r="G27" s="21" t="s">
        <v>39</v>
      </c>
      <c r="H27" s="21"/>
      <c r="I27" s="21"/>
      <c r="J27" s="21"/>
      <c r="K27" s="21"/>
      <c r="L27" s="21"/>
      <c r="M27" s="4">
        <v>8</v>
      </c>
      <c r="N27">
        <f t="shared" si="6"/>
        <v>0.01</v>
      </c>
      <c r="O27">
        <f t="shared" si="1"/>
        <v>282.84271247461902</v>
      </c>
      <c r="P27" s="8">
        <f t="shared" si="2"/>
        <v>1.1322611903507133E-4</v>
      </c>
      <c r="Q27" s="7">
        <f t="shared" si="3"/>
        <v>65.109941912366338</v>
      </c>
      <c r="S27" s="4">
        <f t="shared" si="4"/>
        <v>7.9999999999999982</v>
      </c>
      <c r="T27">
        <f t="shared" si="5"/>
        <v>0.01</v>
      </c>
    </row>
    <row r="28" spans="7:20" x14ac:dyDescent="0.45">
      <c r="M28" s="4">
        <v>10</v>
      </c>
      <c r="N28">
        <f t="shared" si="6"/>
        <v>0.01</v>
      </c>
      <c r="O28">
        <f t="shared" si="1"/>
        <v>316.22776601683796</v>
      </c>
      <c r="P28" s="8">
        <f t="shared" si="2"/>
        <v>1.1322611903507133E-4</v>
      </c>
      <c r="Q28" s="7">
        <f t="shared" si="3"/>
        <v>72.795128063556888</v>
      </c>
      <c r="S28" s="4">
        <f t="shared" si="4"/>
        <v>9.9999999999999982</v>
      </c>
      <c r="T28">
        <f t="shared" si="5"/>
        <v>0.01</v>
      </c>
    </row>
    <row r="29" spans="7:20" x14ac:dyDescent="0.45">
      <c r="M29" s="4">
        <v>20</v>
      </c>
      <c r="N29">
        <f t="shared" si="6"/>
        <v>0.01</v>
      </c>
      <c r="O29">
        <f t="shared" si="1"/>
        <v>447.21359549995793</v>
      </c>
      <c r="P29" s="8">
        <f t="shared" si="2"/>
        <v>1.1322611903507133E-4</v>
      </c>
      <c r="Q29" s="7">
        <f t="shared" si="3"/>
        <v>102.94785738216845</v>
      </c>
      <c r="S29" s="4">
        <f t="shared" si="4"/>
        <v>19.999999999999996</v>
      </c>
      <c r="T29">
        <f t="shared" si="5"/>
        <v>0.01</v>
      </c>
    </row>
    <row r="30" spans="7:20" x14ac:dyDescent="0.45">
      <c r="M30" s="4">
        <v>40</v>
      </c>
      <c r="N30">
        <f t="shared" si="6"/>
        <v>0.01</v>
      </c>
      <c r="O30">
        <f t="shared" si="1"/>
        <v>632.45553203367592</v>
      </c>
      <c r="P30" s="8">
        <f t="shared" si="2"/>
        <v>1.1322611903507133E-4</v>
      </c>
      <c r="Q30" s="7">
        <f t="shared" si="3"/>
        <v>145.59025612711378</v>
      </c>
      <c r="S30" s="4">
        <f t="shared" si="4"/>
        <v>39.999999999999993</v>
      </c>
      <c r="T30">
        <f t="shared" si="5"/>
        <v>0.01</v>
      </c>
    </row>
    <row r="31" spans="7:20" x14ac:dyDescent="0.45">
      <c r="M31" s="4">
        <v>60</v>
      </c>
      <c r="N31">
        <f t="shared" si="6"/>
        <v>0.01</v>
      </c>
      <c r="O31">
        <f t="shared" si="1"/>
        <v>774.59666924148337</v>
      </c>
      <c r="P31" s="8">
        <f t="shared" si="2"/>
        <v>1.1322611903507133E-4</v>
      </c>
      <c r="Q31" s="7">
        <f t="shared" si="3"/>
        <v>178.3109195162705</v>
      </c>
      <c r="S31" s="4">
        <f t="shared" si="4"/>
        <v>60</v>
      </c>
      <c r="T31">
        <f t="shared" si="5"/>
        <v>0.01</v>
      </c>
    </row>
    <row r="32" spans="7:20" x14ac:dyDescent="0.45">
      <c r="M32" s="4">
        <v>80</v>
      </c>
      <c r="N32">
        <f t="shared" si="6"/>
        <v>0.01</v>
      </c>
      <c r="O32">
        <f t="shared" si="1"/>
        <v>894.42719099991587</v>
      </c>
      <c r="P32" s="8">
        <f t="shared" si="2"/>
        <v>1.1322611903507133E-4</v>
      </c>
      <c r="Q32" s="7">
        <f t="shared" si="3"/>
        <v>205.8957147643369</v>
      </c>
      <c r="S32" s="4">
        <f t="shared" si="4"/>
        <v>79.999999999999986</v>
      </c>
      <c r="T32">
        <f t="shared" si="5"/>
        <v>0.01</v>
      </c>
    </row>
    <row r="33" spans="13:20" x14ac:dyDescent="0.45">
      <c r="M33" s="4">
        <v>100</v>
      </c>
      <c r="N33">
        <f t="shared" si="6"/>
        <v>0.01</v>
      </c>
      <c r="O33">
        <f t="shared" si="1"/>
        <v>1000</v>
      </c>
      <c r="P33" s="8">
        <f t="shared" si="2"/>
        <v>1.1322611903507133E-4</v>
      </c>
      <c r="Q33" s="7">
        <f t="shared" si="3"/>
        <v>230.19840724448221</v>
      </c>
      <c r="S33" s="4">
        <f t="shared" si="4"/>
        <v>99.999999999999972</v>
      </c>
      <c r="T33">
        <f t="shared" si="5"/>
        <v>0.01</v>
      </c>
    </row>
    <row r="34" spans="13:20" x14ac:dyDescent="0.45">
      <c r="M34" s="4">
        <v>200</v>
      </c>
      <c r="N34">
        <f t="shared" si="6"/>
        <v>0.01</v>
      </c>
      <c r="O34">
        <f t="shared" si="1"/>
        <v>1414.2135623730951</v>
      </c>
      <c r="P34" s="8">
        <f t="shared" si="2"/>
        <v>1.1322611903507133E-4</v>
      </c>
      <c r="Q34" s="7">
        <f t="shared" si="3"/>
        <v>325.54970956183172</v>
      </c>
      <c r="S34" s="4">
        <f t="shared" si="4"/>
        <v>200.00000000000003</v>
      </c>
      <c r="T34">
        <f t="shared" si="5"/>
        <v>0.01</v>
      </c>
    </row>
    <row r="35" spans="13:20" x14ac:dyDescent="0.45">
      <c r="M35" s="4">
        <v>400</v>
      </c>
      <c r="N35">
        <f t="shared" si="6"/>
        <v>0.01</v>
      </c>
      <c r="O35">
        <f t="shared" si="1"/>
        <v>2000</v>
      </c>
      <c r="P35" s="8">
        <f t="shared" si="2"/>
        <v>1.1322611903507133E-4</v>
      </c>
      <c r="Q35" s="7">
        <f t="shared" si="3"/>
        <v>460.39681448896442</v>
      </c>
      <c r="S35" s="4">
        <f t="shared" si="4"/>
        <v>399.99999999999989</v>
      </c>
      <c r="T35">
        <f t="shared" si="5"/>
        <v>0.01</v>
      </c>
    </row>
    <row r="36" spans="13:20" x14ac:dyDescent="0.45">
      <c r="M36" s="4">
        <v>0.2</v>
      </c>
      <c r="N36">
        <f>10^-1</f>
        <v>0.1</v>
      </c>
      <c r="O36">
        <f t="shared" si="1"/>
        <v>4.4721359549995787</v>
      </c>
      <c r="P36" s="8">
        <f t="shared" si="2"/>
        <v>1.1322611903507131E-6</v>
      </c>
      <c r="Q36" s="7">
        <f t="shared" si="3"/>
        <v>102.94785738216848</v>
      </c>
      <c r="S36" s="4">
        <f t="shared" si="4"/>
        <v>0.20000000000000007</v>
      </c>
      <c r="T36">
        <f t="shared" si="5"/>
        <v>0.1</v>
      </c>
    </row>
    <row r="37" spans="13:20" x14ac:dyDescent="0.45">
      <c r="M37" s="4">
        <v>0.4</v>
      </c>
      <c r="N37">
        <v>0.1</v>
      </c>
      <c r="O37">
        <f t="shared" si="1"/>
        <v>6.3245553203367582</v>
      </c>
      <c r="P37" s="8">
        <f t="shared" si="2"/>
        <v>1.1322611903507131E-6</v>
      </c>
      <c r="Q37" s="7">
        <f t="shared" si="3"/>
        <v>145.5902561271138</v>
      </c>
      <c r="S37" s="4">
        <f t="shared" si="4"/>
        <v>0.4</v>
      </c>
      <c r="T37">
        <f t="shared" si="5"/>
        <v>0.1</v>
      </c>
    </row>
    <row r="38" spans="13:20" x14ac:dyDescent="0.45">
      <c r="M38" s="4">
        <v>0.6</v>
      </c>
      <c r="N38">
        <f t="shared" ref="N38:N52" si="7">10^-1</f>
        <v>0.1</v>
      </c>
      <c r="O38">
        <f t="shared" si="1"/>
        <v>7.745966692414834</v>
      </c>
      <c r="P38" s="8">
        <f t="shared" si="2"/>
        <v>1.1322611903507131E-6</v>
      </c>
      <c r="Q38" s="7">
        <f t="shared" si="3"/>
        <v>178.3109195162705</v>
      </c>
      <c r="S38" s="4">
        <f t="shared" si="4"/>
        <v>0.6</v>
      </c>
      <c r="T38">
        <f t="shared" si="5"/>
        <v>0.1</v>
      </c>
    </row>
    <row r="39" spans="13:20" x14ac:dyDescent="0.45">
      <c r="M39" s="4">
        <v>0.8</v>
      </c>
      <c r="N39">
        <f t="shared" si="7"/>
        <v>0.1</v>
      </c>
      <c r="O39">
        <f t="shared" si="1"/>
        <v>8.9442719099991574</v>
      </c>
      <c r="P39" s="8">
        <f t="shared" si="2"/>
        <v>1.1322611903507131E-6</v>
      </c>
      <c r="Q39" s="7">
        <f t="shared" si="3"/>
        <v>205.89571476433696</v>
      </c>
      <c r="S39" s="4">
        <f t="shared" si="4"/>
        <v>0.80000000000000027</v>
      </c>
      <c r="T39">
        <f t="shared" si="5"/>
        <v>0.1</v>
      </c>
    </row>
    <row r="40" spans="13:20" x14ac:dyDescent="0.45">
      <c r="M40" s="4">
        <v>1</v>
      </c>
      <c r="N40">
        <f t="shared" si="7"/>
        <v>0.1</v>
      </c>
      <c r="O40">
        <f t="shared" si="1"/>
        <v>10</v>
      </c>
      <c r="P40" s="8">
        <f t="shared" si="2"/>
        <v>1.1322611903507131E-6</v>
      </c>
      <c r="Q40" s="7">
        <f t="shared" si="3"/>
        <v>230.19840724448224</v>
      </c>
      <c r="S40" s="4">
        <f t="shared" si="4"/>
        <v>1</v>
      </c>
      <c r="T40">
        <f t="shared" si="5"/>
        <v>0.1</v>
      </c>
    </row>
    <row r="41" spans="13:20" x14ac:dyDescent="0.45">
      <c r="M41" s="4">
        <v>2</v>
      </c>
      <c r="N41">
        <f t="shared" si="7"/>
        <v>0.1</v>
      </c>
      <c r="O41">
        <f t="shared" si="1"/>
        <v>14.142135623730951</v>
      </c>
      <c r="P41" s="8">
        <f t="shared" si="2"/>
        <v>1.1322611903507131E-6</v>
      </c>
      <c r="Q41" s="7">
        <f t="shared" si="3"/>
        <v>325.54970956183172</v>
      </c>
      <c r="S41" s="4">
        <f t="shared" si="4"/>
        <v>2</v>
      </c>
      <c r="T41">
        <f t="shared" si="5"/>
        <v>0.1</v>
      </c>
    </row>
    <row r="42" spans="13:20" x14ac:dyDescent="0.45">
      <c r="M42" s="4">
        <v>4</v>
      </c>
      <c r="N42">
        <f t="shared" si="7"/>
        <v>0.1</v>
      </c>
      <c r="O42">
        <f t="shared" si="1"/>
        <v>20</v>
      </c>
      <c r="P42" s="8">
        <f t="shared" si="2"/>
        <v>1.1322611903507131E-6</v>
      </c>
      <c r="Q42" s="7">
        <f t="shared" si="3"/>
        <v>460.39681448896448</v>
      </c>
      <c r="S42" s="4">
        <f t="shared" si="4"/>
        <v>4</v>
      </c>
      <c r="T42">
        <f t="shared" si="5"/>
        <v>0.1</v>
      </c>
    </row>
    <row r="43" spans="13:20" x14ac:dyDescent="0.45">
      <c r="M43" s="4">
        <v>6</v>
      </c>
      <c r="N43">
        <f t="shared" si="7"/>
        <v>0.1</v>
      </c>
      <c r="O43">
        <f t="shared" ref="O43:O52" si="8">SQRT(M43)/N43</f>
        <v>24.494897427831777</v>
      </c>
      <c r="P43" s="8">
        <f t="shared" ref="P43:P52" si="9">($C$9^2)/($C$5*$C$7*(N43^2))</f>
        <v>1.1322611903507131E-6</v>
      </c>
      <c r="Q43" s="7">
        <f t="shared" ref="Q43:Q52" si="10">SQRT(M43*$C$7/(P43*$C$4))</f>
        <v>563.86863735038412</v>
      </c>
      <c r="S43" s="4">
        <f t="shared" ref="S43:S52" si="11">$C$4*(Q43^2)*P43/$C$7</f>
        <v>6</v>
      </c>
      <c r="T43">
        <f t="shared" ref="T43:T52" si="12">$C$9/SQRT($C$5*P43*$C$7)</f>
        <v>0.1</v>
      </c>
    </row>
    <row r="44" spans="13:20" x14ac:dyDescent="0.45">
      <c r="M44" s="4">
        <v>8</v>
      </c>
      <c r="N44">
        <f t="shared" si="7"/>
        <v>0.1</v>
      </c>
      <c r="O44">
        <f t="shared" si="8"/>
        <v>28.284271247461902</v>
      </c>
      <c r="P44" s="8">
        <f t="shared" si="9"/>
        <v>1.1322611903507131E-6</v>
      </c>
      <c r="Q44" s="7">
        <f t="shared" si="10"/>
        <v>651.09941912366344</v>
      </c>
      <c r="S44" s="4">
        <f t="shared" si="11"/>
        <v>8</v>
      </c>
      <c r="T44">
        <f t="shared" si="12"/>
        <v>0.1</v>
      </c>
    </row>
    <row r="45" spans="13:20" x14ac:dyDescent="0.45">
      <c r="M45" s="4">
        <v>10</v>
      </c>
      <c r="N45">
        <f t="shared" si="7"/>
        <v>0.1</v>
      </c>
      <c r="O45">
        <f t="shared" si="8"/>
        <v>31.622776601683793</v>
      </c>
      <c r="P45" s="8">
        <f t="shared" si="9"/>
        <v>1.1322611903507131E-6</v>
      </c>
      <c r="Q45" s="7">
        <f t="shared" si="10"/>
        <v>727.95128063556899</v>
      </c>
      <c r="S45" s="4">
        <f t="shared" si="11"/>
        <v>10</v>
      </c>
      <c r="T45">
        <f t="shared" si="12"/>
        <v>0.1</v>
      </c>
    </row>
    <row r="46" spans="13:20" x14ac:dyDescent="0.45">
      <c r="M46" s="4">
        <v>20</v>
      </c>
      <c r="N46">
        <f t="shared" si="7"/>
        <v>0.1</v>
      </c>
      <c r="O46">
        <f t="shared" si="8"/>
        <v>44.721359549995796</v>
      </c>
      <c r="P46" s="8">
        <f t="shared" si="9"/>
        <v>1.1322611903507131E-6</v>
      </c>
      <c r="Q46" s="7">
        <f t="shared" si="10"/>
        <v>1029.4785738216847</v>
      </c>
      <c r="S46" s="4">
        <f t="shared" si="11"/>
        <v>20</v>
      </c>
      <c r="T46">
        <f t="shared" si="12"/>
        <v>0.1</v>
      </c>
    </row>
    <row r="47" spans="13:20" x14ac:dyDescent="0.45">
      <c r="M47" s="4">
        <v>40</v>
      </c>
      <c r="N47">
        <f t="shared" si="7"/>
        <v>0.1</v>
      </c>
      <c r="O47">
        <f t="shared" si="8"/>
        <v>63.245553203367585</v>
      </c>
      <c r="P47" s="8">
        <f t="shared" si="9"/>
        <v>1.1322611903507131E-6</v>
      </c>
      <c r="Q47" s="7">
        <f t="shared" si="10"/>
        <v>1455.902561271138</v>
      </c>
      <c r="S47" s="4">
        <f t="shared" si="11"/>
        <v>40</v>
      </c>
      <c r="T47">
        <f t="shared" si="12"/>
        <v>0.1</v>
      </c>
    </row>
    <row r="48" spans="13:20" x14ac:dyDescent="0.45">
      <c r="M48" s="4">
        <v>60</v>
      </c>
      <c r="N48">
        <f t="shared" si="7"/>
        <v>0.1</v>
      </c>
      <c r="O48">
        <f t="shared" si="8"/>
        <v>77.459666924148337</v>
      </c>
      <c r="P48" s="8">
        <f t="shared" si="9"/>
        <v>1.1322611903507131E-6</v>
      </c>
      <c r="Q48" s="7">
        <f t="shared" si="10"/>
        <v>1783.109195162705</v>
      </c>
      <c r="S48" s="4">
        <f t="shared" si="11"/>
        <v>59.999999999999986</v>
      </c>
      <c r="T48">
        <f t="shared" si="12"/>
        <v>0.1</v>
      </c>
    </row>
    <row r="49" spans="13:20" x14ac:dyDescent="0.45">
      <c r="M49" s="4">
        <v>80</v>
      </c>
      <c r="N49">
        <f t="shared" si="7"/>
        <v>0.1</v>
      </c>
      <c r="O49">
        <f t="shared" si="8"/>
        <v>89.442719099991592</v>
      </c>
      <c r="P49" s="8">
        <f t="shared" si="9"/>
        <v>1.1322611903507131E-6</v>
      </c>
      <c r="Q49" s="7">
        <f t="shared" si="10"/>
        <v>2058.9571476433694</v>
      </c>
      <c r="S49" s="4">
        <f t="shared" si="11"/>
        <v>80</v>
      </c>
      <c r="T49">
        <f t="shared" si="12"/>
        <v>0.1</v>
      </c>
    </row>
    <row r="50" spans="13:20" x14ac:dyDescent="0.45">
      <c r="M50" s="4">
        <v>100</v>
      </c>
      <c r="N50">
        <f t="shared" si="7"/>
        <v>0.1</v>
      </c>
      <c r="O50">
        <f t="shared" si="8"/>
        <v>100</v>
      </c>
      <c r="P50" s="8">
        <f t="shared" si="9"/>
        <v>1.1322611903507131E-6</v>
      </c>
      <c r="Q50" s="7">
        <f t="shared" si="10"/>
        <v>2301.9840724448222</v>
      </c>
      <c r="S50" s="4">
        <f t="shared" si="11"/>
        <v>99.999999999999986</v>
      </c>
      <c r="T50">
        <f t="shared" si="12"/>
        <v>0.1</v>
      </c>
    </row>
    <row r="51" spans="13:20" x14ac:dyDescent="0.45">
      <c r="M51" s="4">
        <v>200</v>
      </c>
      <c r="N51">
        <f t="shared" si="7"/>
        <v>0.1</v>
      </c>
      <c r="O51">
        <f t="shared" si="8"/>
        <v>141.42135623730951</v>
      </c>
      <c r="P51" s="8">
        <f t="shared" si="9"/>
        <v>1.1322611903507131E-6</v>
      </c>
      <c r="Q51" s="7">
        <f t="shared" si="10"/>
        <v>3255.4970956183174</v>
      </c>
      <c r="S51" s="4">
        <f t="shared" si="11"/>
        <v>200.00000000000003</v>
      </c>
      <c r="T51">
        <f t="shared" si="12"/>
        <v>0.1</v>
      </c>
    </row>
    <row r="52" spans="13:20" x14ac:dyDescent="0.45">
      <c r="M52" s="4">
        <v>400</v>
      </c>
      <c r="N52">
        <f t="shared" si="7"/>
        <v>0.1</v>
      </c>
      <c r="O52">
        <f t="shared" si="8"/>
        <v>200</v>
      </c>
      <c r="P52" s="8">
        <f t="shared" si="9"/>
        <v>1.1322611903507131E-6</v>
      </c>
      <c r="Q52" s="7">
        <f t="shared" si="10"/>
        <v>4603.9681448896445</v>
      </c>
      <c r="S52" s="4">
        <f t="shared" si="11"/>
        <v>399.99999999999994</v>
      </c>
      <c r="T52">
        <f t="shared" si="12"/>
        <v>0.1</v>
      </c>
    </row>
  </sheetData>
  <mergeCells count="4">
    <mergeCell ref="A1:E1"/>
    <mergeCell ref="G25:L25"/>
    <mergeCell ref="G26:L26"/>
    <mergeCell ref="G27:L2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958E6-F85D-40F2-8255-9747C5547705}">
  <dimension ref="A1:J29"/>
  <sheetViews>
    <sheetView workbookViewId="0">
      <selection activeCell="G34" sqref="G34"/>
    </sheetView>
  </sheetViews>
  <sheetFormatPr defaultRowHeight="14.25" x14ac:dyDescent="0.45"/>
  <cols>
    <col min="1" max="1" width="16.86328125" customWidth="1"/>
    <col min="3" max="4" width="14.73046875" customWidth="1"/>
    <col min="5" max="5" width="13.3984375" customWidth="1"/>
  </cols>
  <sheetData>
    <row r="1" spans="1:10" x14ac:dyDescent="0.45">
      <c r="A1" s="4"/>
    </row>
    <row r="2" spans="1:10" x14ac:dyDescent="0.45">
      <c r="A2" s="4"/>
      <c r="B2" s="19" t="s">
        <v>40</v>
      </c>
      <c r="C2" s="19"/>
      <c r="D2" s="19"/>
      <c r="E2" s="19"/>
      <c r="F2" s="19"/>
      <c r="G2" s="19"/>
      <c r="H2" s="19"/>
      <c r="I2" s="19"/>
      <c r="J2" s="19"/>
    </row>
    <row r="3" spans="1:10" x14ac:dyDescent="0.45">
      <c r="A3" s="12" t="s">
        <v>2</v>
      </c>
      <c r="B3" t="s">
        <v>41</v>
      </c>
      <c r="C3" t="s">
        <v>42</v>
      </c>
      <c r="D3" t="s">
        <v>43</v>
      </c>
      <c r="E3" t="s">
        <v>44</v>
      </c>
      <c r="F3" t="s">
        <v>45</v>
      </c>
      <c r="G3" t="s">
        <v>46</v>
      </c>
      <c r="H3" t="s">
        <v>47</v>
      </c>
      <c r="I3" t="s">
        <v>48</v>
      </c>
    </row>
    <row r="4" spans="1:10" x14ac:dyDescent="0.45">
      <c r="A4" s="13">
        <v>1E-3</v>
      </c>
      <c r="B4" s="14" t="s">
        <v>49</v>
      </c>
      <c r="C4" s="14">
        <v>1</v>
      </c>
      <c r="D4" s="14"/>
      <c r="E4" s="14">
        <v>3</v>
      </c>
      <c r="F4" s="14">
        <v>11</v>
      </c>
      <c r="G4" s="14">
        <v>35</v>
      </c>
      <c r="H4" s="14">
        <v>80</v>
      </c>
      <c r="I4" s="14">
        <v>1000</v>
      </c>
    </row>
    <row r="5" spans="1:10" x14ac:dyDescent="0.45">
      <c r="A5" s="15">
        <v>1E-3</v>
      </c>
      <c r="B5" s="16" t="s">
        <v>8</v>
      </c>
      <c r="C5" s="16">
        <v>0.7</v>
      </c>
      <c r="D5" s="16">
        <v>0.7</v>
      </c>
      <c r="E5" s="16">
        <v>1.5</v>
      </c>
      <c r="F5" s="16">
        <v>5</v>
      </c>
      <c r="G5" s="16">
        <v>5</v>
      </c>
      <c r="H5" s="16">
        <v>5</v>
      </c>
      <c r="I5" s="16">
        <v>1000</v>
      </c>
    </row>
    <row r="6" spans="1:10" x14ac:dyDescent="0.45">
      <c r="A6" s="11">
        <v>1E-3</v>
      </c>
      <c r="B6" t="s">
        <v>50</v>
      </c>
      <c r="C6">
        <v>0.7</v>
      </c>
      <c r="E6">
        <v>1.5</v>
      </c>
      <c r="F6">
        <v>7</v>
      </c>
      <c r="G6">
        <v>70</v>
      </c>
      <c r="H6">
        <v>300</v>
      </c>
      <c r="I6">
        <v>1000</v>
      </c>
    </row>
    <row r="7" spans="1:10" x14ac:dyDescent="0.45">
      <c r="A7" s="13">
        <v>0.01</v>
      </c>
      <c r="B7" s="14" t="s">
        <v>49</v>
      </c>
      <c r="C7" s="14">
        <v>1</v>
      </c>
      <c r="D7" s="14"/>
      <c r="E7" s="14">
        <v>3</v>
      </c>
      <c r="F7" s="14">
        <v>11</v>
      </c>
      <c r="G7" s="14">
        <v>35</v>
      </c>
      <c r="H7" s="14">
        <v>80</v>
      </c>
      <c r="I7" s="14">
        <v>1000</v>
      </c>
    </row>
    <row r="8" spans="1:10" x14ac:dyDescent="0.45">
      <c r="A8" s="15">
        <v>0.01</v>
      </c>
      <c r="B8" s="16" t="s">
        <v>8</v>
      </c>
      <c r="C8" s="16">
        <v>0.7</v>
      </c>
      <c r="D8" s="16">
        <v>0.7</v>
      </c>
      <c r="E8" s="16">
        <v>1.5</v>
      </c>
      <c r="F8" s="16">
        <v>5</v>
      </c>
      <c r="G8" s="16">
        <v>5</v>
      </c>
      <c r="H8" s="16">
        <v>5</v>
      </c>
      <c r="I8" s="16">
        <v>1000</v>
      </c>
    </row>
    <row r="9" spans="1:10" x14ac:dyDescent="0.45">
      <c r="A9" s="11">
        <v>0.01</v>
      </c>
      <c r="B9" t="s">
        <v>50</v>
      </c>
      <c r="C9">
        <v>0.7</v>
      </c>
      <c r="E9">
        <v>1.5</v>
      </c>
      <c r="F9">
        <v>7</v>
      </c>
      <c r="G9">
        <v>70</v>
      </c>
      <c r="H9">
        <v>300</v>
      </c>
      <c r="I9">
        <v>1000</v>
      </c>
    </row>
    <row r="10" spans="1:10" x14ac:dyDescent="0.45">
      <c r="A10" s="13">
        <v>0.1</v>
      </c>
      <c r="B10" s="14" t="s">
        <v>49</v>
      </c>
      <c r="C10" s="14">
        <v>1</v>
      </c>
      <c r="D10" s="14"/>
      <c r="E10" s="14">
        <v>3</v>
      </c>
      <c r="F10" s="14">
        <v>11</v>
      </c>
      <c r="G10" s="14">
        <v>37</v>
      </c>
      <c r="H10" s="14">
        <v>80</v>
      </c>
      <c r="I10" s="14">
        <v>1000</v>
      </c>
    </row>
    <row r="11" spans="1:10" x14ac:dyDescent="0.45">
      <c r="A11" s="15">
        <v>0.1</v>
      </c>
      <c r="B11" s="16" t="s">
        <v>8</v>
      </c>
      <c r="C11" s="16">
        <v>0.7</v>
      </c>
      <c r="D11" s="16">
        <v>0.7</v>
      </c>
      <c r="E11" s="16">
        <v>1.5</v>
      </c>
      <c r="F11" s="16">
        <v>5</v>
      </c>
      <c r="G11" s="16">
        <v>5</v>
      </c>
      <c r="H11" s="16">
        <v>5</v>
      </c>
      <c r="I11" s="16">
        <v>1000</v>
      </c>
    </row>
    <row r="12" spans="1:10" x14ac:dyDescent="0.45">
      <c r="A12" s="11">
        <v>0.1</v>
      </c>
      <c r="B12" t="s">
        <v>50</v>
      </c>
      <c r="C12">
        <v>0.7</v>
      </c>
      <c r="E12">
        <v>1.5</v>
      </c>
      <c r="F12">
        <v>7</v>
      </c>
      <c r="G12">
        <v>70</v>
      </c>
      <c r="H12">
        <v>300</v>
      </c>
      <c r="I12">
        <v>1000</v>
      </c>
    </row>
    <row r="13" spans="1:10" x14ac:dyDescent="0.45">
      <c r="A13" s="11"/>
    </row>
    <row r="14" spans="1:10" x14ac:dyDescent="0.45">
      <c r="A14" s="4"/>
      <c r="B14" s="19" t="s">
        <v>51</v>
      </c>
      <c r="C14" s="19"/>
      <c r="D14" s="19"/>
      <c r="E14" s="19"/>
      <c r="F14" s="19"/>
      <c r="G14" s="19"/>
      <c r="H14" s="19"/>
      <c r="I14" s="19"/>
      <c r="J14" s="19"/>
    </row>
    <row r="15" spans="1:10" x14ac:dyDescent="0.45">
      <c r="A15" s="12" t="s">
        <v>2</v>
      </c>
      <c r="B15" t="s">
        <v>41</v>
      </c>
      <c r="C15" t="s">
        <v>42</v>
      </c>
      <c r="D15" t="s">
        <v>43</v>
      </c>
      <c r="E15" t="s">
        <v>44</v>
      </c>
      <c r="F15" t="s">
        <v>45</v>
      </c>
      <c r="G15" t="s">
        <v>46</v>
      </c>
      <c r="H15" t="s">
        <v>47</v>
      </c>
      <c r="I15" t="s">
        <v>48</v>
      </c>
    </row>
    <row r="16" spans="1:10" x14ac:dyDescent="0.45">
      <c r="A16" s="13">
        <v>1E-3</v>
      </c>
      <c r="B16" s="14" t="s">
        <v>49</v>
      </c>
      <c r="C16" s="14">
        <f>C4-0</f>
        <v>1</v>
      </c>
      <c r="D16" s="14"/>
      <c r="E16" s="14">
        <f t="shared" ref="E16:E24" si="0">E4-C4</f>
        <v>2</v>
      </c>
      <c r="F16" s="14">
        <f>F4-E4</f>
        <v>8</v>
      </c>
      <c r="G16" s="14">
        <f t="shared" ref="G16:H16" si="1">G4-F4</f>
        <v>24</v>
      </c>
      <c r="H16" s="14">
        <f t="shared" si="1"/>
        <v>45</v>
      </c>
      <c r="I16" s="14">
        <f>I4-H4</f>
        <v>920</v>
      </c>
    </row>
    <row r="17" spans="1:9" x14ac:dyDescent="0.45">
      <c r="A17" s="15">
        <v>1E-3</v>
      </c>
      <c r="B17" s="16" t="s">
        <v>8</v>
      </c>
      <c r="C17" s="16">
        <f t="shared" ref="C17:C24" si="2">C5-0</f>
        <v>0.7</v>
      </c>
      <c r="D17" s="16"/>
      <c r="E17" s="16">
        <f t="shared" si="0"/>
        <v>0.8</v>
      </c>
      <c r="F17" s="16">
        <f t="shared" ref="F17:I24" si="3">F5-E5</f>
        <v>3.5</v>
      </c>
      <c r="G17" s="16">
        <f t="shared" si="3"/>
        <v>0</v>
      </c>
      <c r="H17" s="16">
        <f t="shared" si="3"/>
        <v>0</v>
      </c>
      <c r="I17" s="16">
        <f t="shared" si="3"/>
        <v>995</v>
      </c>
    </row>
    <row r="18" spans="1:9" x14ac:dyDescent="0.45">
      <c r="A18" s="11">
        <v>1E-3</v>
      </c>
      <c r="B18" t="s">
        <v>50</v>
      </c>
      <c r="C18">
        <f t="shared" si="2"/>
        <v>0.7</v>
      </c>
      <c r="E18">
        <f t="shared" si="0"/>
        <v>0.8</v>
      </c>
      <c r="F18">
        <f t="shared" si="3"/>
        <v>5.5</v>
      </c>
      <c r="G18">
        <f t="shared" si="3"/>
        <v>63</v>
      </c>
      <c r="H18">
        <f t="shared" si="3"/>
        <v>230</v>
      </c>
      <c r="I18">
        <f t="shared" si="3"/>
        <v>700</v>
      </c>
    </row>
    <row r="19" spans="1:9" x14ac:dyDescent="0.45">
      <c r="A19" s="13">
        <v>0.01</v>
      </c>
      <c r="B19" s="14" t="s">
        <v>49</v>
      </c>
      <c r="C19" s="14">
        <f t="shared" si="2"/>
        <v>1</v>
      </c>
      <c r="D19" s="14"/>
      <c r="E19" s="14">
        <f t="shared" si="0"/>
        <v>2</v>
      </c>
      <c r="F19" s="14">
        <f t="shared" si="3"/>
        <v>8</v>
      </c>
      <c r="G19" s="14">
        <f t="shared" si="3"/>
        <v>24</v>
      </c>
      <c r="H19" s="14">
        <f t="shared" si="3"/>
        <v>45</v>
      </c>
      <c r="I19" s="14">
        <f t="shared" si="3"/>
        <v>920</v>
      </c>
    </row>
    <row r="20" spans="1:9" x14ac:dyDescent="0.45">
      <c r="A20" s="15">
        <v>0.01</v>
      </c>
      <c r="B20" s="16" t="s">
        <v>8</v>
      </c>
      <c r="C20" s="16">
        <f t="shared" si="2"/>
        <v>0.7</v>
      </c>
      <c r="D20" s="16"/>
      <c r="E20" s="16">
        <f t="shared" si="0"/>
        <v>0.8</v>
      </c>
      <c r="F20" s="16">
        <f t="shared" si="3"/>
        <v>3.5</v>
      </c>
      <c r="G20" s="16">
        <f t="shared" si="3"/>
        <v>0</v>
      </c>
      <c r="H20" s="16">
        <f t="shared" si="3"/>
        <v>0</v>
      </c>
      <c r="I20" s="16">
        <f t="shared" si="3"/>
        <v>995</v>
      </c>
    </row>
    <row r="21" spans="1:9" x14ac:dyDescent="0.45">
      <c r="A21" s="11">
        <v>0.01</v>
      </c>
      <c r="B21" t="s">
        <v>50</v>
      </c>
      <c r="C21">
        <f t="shared" si="2"/>
        <v>0.7</v>
      </c>
      <c r="E21">
        <f t="shared" si="0"/>
        <v>0.8</v>
      </c>
      <c r="F21">
        <f t="shared" si="3"/>
        <v>5.5</v>
      </c>
      <c r="G21">
        <f t="shared" si="3"/>
        <v>63</v>
      </c>
      <c r="H21">
        <f t="shared" si="3"/>
        <v>230</v>
      </c>
      <c r="I21">
        <f t="shared" si="3"/>
        <v>700</v>
      </c>
    </row>
    <row r="22" spans="1:9" x14ac:dyDescent="0.45">
      <c r="A22" s="13">
        <v>0.1</v>
      </c>
      <c r="B22" s="14" t="s">
        <v>49</v>
      </c>
      <c r="C22" s="14">
        <f t="shared" si="2"/>
        <v>1</v>
      </c>
      <c r="D22" s="14"/>
      <c r="E22" s="14">
        <f t="shared" si="0"/>
        <v>2</v>
      </c>
      <c r="F22" s="14">
        <f t="shared" si="3"/>
        <v>8</v>
      </c>
      <c r="G22" s="14">
        <f t="shared" si="3"/>
        <v>26</v>
      </c>
      <c r="H22" s="14">
        <f t="shared" si="3"/>
        <v>43</v>
      </c>
      <c r="I22" s="14">
        <f t="shared" si="3"/>
        <v>920</v>
      </c>
    </row>
    <row r="23" spans="1:9" x14ac:dyDescent="0.45">
      <c r="A23" s="15">
        <v>0.1</v>
      </c>
      <c r="B23" s="16" t="s">
        <v>8</v>
      </c>
      <c r="C23" s="16">
        <f t="shared" si="2"/>
        <v>0.7</v>
      </c>
      <c r="D23" s="16"/>
      <c r="E23" s="16">
        <f t="shared" si="0"/>
        <v>0.8</v>
      </c>
      <c r="F23" s="16">
        <f t="shared" si="3"/>
        <v>3.5</v>
      </c>
      <c r="G23" s="16">
        <f t="shared" si="3"/>
        <v>0</v>
      </c>
      <c r="H23" s="16">
        <f t="shared" si="3"/>
        <v>0</v>
      </c>
      <c r="I23" s="16">
        <f t="shared" si="3"/>
        <v>995</v>
      </c>
    </row>
    <row r="24" spans="1:9" x14ac:dyDescent="0.45">
      <c r="A24" s="11">
        <v>0.1</v>
      </c>
      <c r="B24" t="s">
        <v>50</v>
      </c>
      <c r="C24">
        <f t="shared" si="2"/>
        <v>0.7</v>
      </c>
      <c r="E24">
        <f t="shared" si="0"/>
        <v>0.8</v>
      </c>
      <c r="F24">
        <f t="shared" si="3"/>
        <v>5.5</v>
      </c>
      <c r="G24">
        <f t="shared" si="3"/>
        <v>63</v>
      </c>
      <c r="H24">
        <f t="shared" si="3"/>
        <v>230</v>
      </c>
      <c r="I24">
        <f t="shared" si="3"/>
        <v>700</v>
      </c>
    </row>
    <row r="29" spans="1:9" x14ac:dyDescent="0.45">
      <c r="B29" s="22" t="s">
        <v>52</v>
      </c>
      <c r="C29" s="22"/>
      <c r="D29" s="22"/>
    </row>
  </sheetData>
  <mergeCells count="3">
    <mergeCell ref="B2:J2"/>
    <mergeCell ref="B14:J14"/>
    <mergeCell ref="B29:D2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F252-BC94-483F-B530-FC969D704D75}">
  <dimension ref="A1:K24"/>
  <sheetViews>
    <sheetView tabSelected="1" topLeftCell="A4" zoomScale="78" workbookViewId="0">
      <selection activeCell="J31" sqref="J31"/>
    </sheetView>
  </sheetViews>
  <sheetFormatPr defaultRowHeight="14.25" x14ac:dyDescent="0.45"/>
  <cols>
    <col min="1" max="1" width="16.86328125" customWidth="1"/>
    <col min="3" max="3" width="8.53125" customWidth="1"/>
    <col min="4" max="4" width="11.265625" customWidth="1"/>
    <col min="5" max="5" width="12.3984375" customWidth="1"/>
    <col min="6" max="6" width="8.3984375" customWidth="1"/>
  </cols>
  <sheetData>
    <row r="1" spans="1:11" x14ac:dyDescent="0.45">
      <c r="A1" s="4"/>
    </row>
    <row r="2" spans="1:11" x14ac:dyDescent="0.45">
      <c r="A2" s="4"/>
      <c r="B2" s="19" t="s">
        <v>40</v>
      </c>
      <c r="C2" s="19"/>
      <c r="D2" s="19"/>
      <c r="E2" s="19"/>
      <c r="F2" s="19"/>
      <c r="G2" s="19"/>
      <c r="H2" s="19"/>
      <c r="I2" s="19"/>
      <c r="J2" s="19"/>
      <c r="K2" s="19"/>
    </row>
    <row r="3" spans="1:11" x14ac:dyDescent="0.45">
      <c r="A3" s="12" t="s">
        <v>2</v>
      </c>
      <c r="B3" t="s">
        <v>41</v>
      </c>
      <c r="C3" t="s">
        <v>80</v>
      </c>
      <c r="D3" t="s">
        <v>81</v>
      </c>
      <c r="E3" t="s">
        <v>82</v>
      </c>
      <c r="F3" t="s">
        <v>83</v>
      </c>
      <c r="G3" t="s">
        <v>45</v>
      </c>
      <c r="H3" t="s">
        <v>46</v>
      </c>
      <c r="I3" t="s">
        <v>47</v>
      </c>
      <c r="J3" t="s">
        <v>48</v>
      </c>
    </row>
    <row r="4" spans="1:11" x14ac:dyDescent="0.45">
      <c r="A4" s="13">
        <v>1E-3</v>
      </c>
      <c r="B4" s="14" t="s">
        <v>79</v>
      </c>
      <c r="C4" s="14">
        <v>0.38</v>
      </c>
      <c r="D4" s="14">
        <v>1</v>
      </c>
      <c r="E4" s="14">
        <v>2.1</v>
      </c>
      <c r="F4" s="14">
        <v>3</v>
      </c>
      <c r="G4" s="14">
        <v>11</v>
      </c>
      <c r="H4" s="14">
        <v>35</v>
      </c>
      <c r="I4" s="14">
        <v>80</v>
      </c>
      <c r="J4" s="14">
        <v>1000</v>
      </c>
    </row>
    <row r="5" spans="1:11" x14ac:dyDescent="0.45">
      <c r="A5" s="15">
        <v>1E-3</v>
      </c>
      <c r="B5" s="16" t="s">
        <v>77</v>
      </c>
      <c r="C5" s="16">
        <v>0.3</v>
      </c>
      <c r="D5" s="16">
        <v>0.7</v>
      </c>
      <c r="E5" s="16">
        <v>1.5</v>
      </c>
      <c r="F5" s="16">
        <v>1.5</v>
      </c>
      <c r="G5" s="16">
        <v>5</v>
      </c>
      <c r="H5" s="16">
        <v>5</v>
      </c>
      <c r="I5" s="16">
        <v>5</v>
      </c>
      <c r="J5" s="16">
        <v>1000</v>
      </c>
    </row>
    <row r="6" spans="1:11" x14ac:dyDescent="0.45">
      <c r="A6" s="11">
        <v>1E-3</v>
      </c>
      <c r="B6" t="s">
        <v>78</v>
      </c>
      <c r="C6">
        <v>0.3</v>
      </c>
      <c r="D6">
        <v>0.7</v>
      </c>
      <c r="E6">
        <v>1.5</v>
      </c>
      <c r="F6">
        <v>1.5</v>
      </c>
      <c r="G6">
        <v>7</v>
      </c>
      <c r="H6">
        <v>70</v>
      </c>
      <c r="I6">
        <v>300</v>
      </c>
      <c r="J6">
        <v>1000</v>
      </c>
    </row>
    <row r="7" spans="1:11" x14ac:dyDescent="0.45">
      <c r="A7" s="13">
        <v>0.01</v>
      </c>
      <c r="B7" s="14" t="s">
        <v>79</v>
      </c>
      <c r="C7" s="14">
        <v>0.38</v>
      </c>
      <c r="D7" s="14">
        <v>1</v>
      </c>
      <c r="E7" s="14">
        <v>2.1</v>
      </c>
      <c r="F7" s="14">
        <v>3</v>
      </c>
      <c r="G7" s="14">
        <v>11</v>
      </c>
      <c r="H7" s="14">
        <v>35</v>
      </c>
      <c r="I7" s="14">
        <v>80</v>
      </c>
      <c r="J7" s="14">
        <v>1000</v>
      </c>
    </row>
    <row r="8" spans="1:11" x14ac:dyDescent="0.45">
      <c r="A8" s="15">
        <v>0.01</v>
      </c>
      <c r="B8" s="16" t="s">
        <v>77</v>
      </c>
      <c r="C8" s="16">
        <v>0.3</v>
      </c>
      <c r="D8" s="16">
        <v>0.7</v>
      </c>
      <c r="E8" s="16">
        <v>1.5</v>
      </c>
      <c r="F8" s="16">
        <v>1.5</v>
      </c>
      <c r="G8" s="16">
        <v>5</v>
      </c>
      <c r="H8" s="16">
        <v>5</v>
      </c>
      <c r="I8" s="16">
        <v>5</v>
      </c>
      <c r="J8" s="16">
        <v>1000</v>
      </c>
    </row>
    <row r="9" spans="1:11" x14ac:dyDescent="0.45">
      <c r="A9" s="11">
        <v>0.01</v>
      </c>
      <c r="B9" t="s">
        <v>78</v>
      </c>
      <c r="C9">
        <v>0.3</v>
      </c>
      <c r="D9">
        <v>0.7</v>
      </c>
      <c r="E9">
        <v>1.5</v>
      </c>
      <c r="F9">
        <v>1.5</v>
      </c>
      <c r="G9">
        <v>7</v>
      </c>
      <c r="H9">
        <v>70</v>
      </c>
      <c r="I9">
        <v>300</v>
      </c>
      <c r="J9">
        <v>1000</v>
      </c>
    </row>
    <row r="10" spans="1:11" x14ac:dyDescent="0.45">
      <c r="A10" s="13">
        <v>0.1</v>
      </c>
      <c r="B10" s="14" t="s">
        <v>79</v>
      </c>
      <c r="C10" s="14">
        <v>0.38</v>
      </c>
      <c r="D10" s="14">
        <v>1</v>
      </c>
      <c r="E10" s="14">
        <v>2.1</v>
      </c>
      <c r="F10" s="14">
        <v>5</v>
      </c>
      <c r="G10" s="14">
        <v>11</v>
      </c>
      <c r="H10" s="14">
        <v>37</v>
      </c>
      <c r="I10" s="14">
        <v>80</v>
      </c>
      <c r="J10" s="14">
        <v>1000</v>
      </c>
    </row>
    <row r="11" spans="1:11" x14ac:dyDescent="0.45">
      <c r="A11" s="15">
        <v>0.1</v>
      </c>
      <c r="B11" s="16" t="s">
        <v>77</v>
      </c>
      <c r="C11" s="16">
        <v>0.3</v>
      </c>
      <c r="D11" s="16">
        <v>0.7</v>
      </c>
      <c r="E11" s="16">
        <v>1.5</v>
      </c>
      <c r="F11" s="16">
        <v>3</v>
      </c>
      <c r="G11" s="16">
        <v>5</v>
      </c>
      <c r="H11" s="16">
        <v>5</v>
      </c>
      <c r="I11" s="16">
        <v>5</v>
      </c>
      <c r="J11" s="16">
        <v>1000</v>
      </c>
    </row>
    <row r="12" spans="1:11" x14ac:dyDescent="0.45">
      <c r="A12" s="11">
        <v>0.1</v>
      </c>
      <c r="B12" t="s">
        <v>78</v>
      </c>
      <c r="C12">
        <v>0.3</v>
      </c>
      <c r="D12">
        <v>0.7</v>
      </c>
      <c r="E12">
        <v>1.5</v>
      </c>
      <c r="F12">
        <v>3</v>
      </c>
      <c r="G12">
        <v>7</v>
      </c>
      <c r="H12">
        <v>70</v>
      </c>
      <c r="I12">
        <v>300</v>
      </c>
      <c r="J12">
        <v>1000</v>
      </c>
    </row>
    <row r="13" spans="1:11" x14ac:dyDescent="0.45">
      <c r="A13" s="11"/>
    </row>
    <row r="14" spans="1:11" x14ac:dyDescent="0.45">
      <c r="A14" s="4"/>
      <c r="B14" s="19" t="s">
        <v>51</v>
      </c>
      <c r="C14" s="19"/>
      <c r="D14" s="19"/>
      <c r="E14" s="19"/>
      <c r="F14" s="19"/>
      <c r="G14" s="19"/>
      <c r="H14" s="19"/>
      <c r="I14" s="19"/>
      <c r="J14" s="19"/>
      <c r="K14" s="19"/>
    </row>
    <row r="15" spans="1:11" x14ac:dyDescent="0.45">
      <c r="A15" s="12" t="s">
        <v>2</v>
      </c>
      <c r="B15" t="s">
        <v>41</v>
      </c>
      <c r="C15" t="s">
        <v>80</v>
      </c>
      <c r="D15" t="s">
        <v>81</v>
      </c>
      <c r="E15" t="s">
        <v>82</v>
      </c>
      <c r="F15" t="s">
        <v>83</v>
      </c>
      <c r="G15" t="s">
        <v>45</v>
      </c>
      <c r="H15" t="s">
        <v>46</v>
      </c>
      <c r="I15" t="s">
        <v>47</v>
      </c>
      <c r="J15" t="s">
        <v>48</v>
      </c>
    </row>
    <row r="16" spans="1:11" x14ac:dyDescent="0.45">
      <c r="A16" s="13">
        <v>1E-3</v>
      </c>
      <c r="B16" s="14" t="s">
        <v>79</v>
      </c>
      <c r="C16" s="14">
        <f t="shared" ref="C16:C24" si="0">C4</f>
        <v>0.38</v>
      </c>
      <c r="D16" s="14">
        <f t="shared" ref="D16:F16" si="1">D4-C4</f>
        <v>0.62</v>
      </c>
      <c r="E16" s="14">
        <f t="shared" si="1"/>
        <v>1.1000000000000001</v>
      </c>
      <c r="F16" s="14">
        <f t="shared" si="1"/>
        <v>0.89999999999999991</v>
      </c>
      <c r="G16" s="14">
        <f>G4-F4</f>
        <v>8</v>
      </c>
      <c r="H16" s="14">
        <f t="shared" ref="H16:I16" si="2">H4-G4</f>
        <v>24</v>
      </c>
      <c r="I16" s="14">
        <f t="shared" si="2"/>
        <v>45</v>
      </c>
      <c r="J16" s="14">
        <f>J4-I4</f>
        <v>920</v>
      </c>
    </row>
    <row r="17" spans="1:10" x14ac:dyDescent="0.45">
      <c r="A17" s="15">
        <v>1E-3</v>
      </c>
      <c r="B17" s="16" t="s">
        <v>77</v>
      </c>
      <c r="C17" s="16">
        <f t="shared" si="0"/>
        <v>0.3</v>
      </c>
      <c r="D17" s="16">
        <f t="shared" ref="D17:F22" si="3">D5-C5</f>
        <v>0.39999999999999997</v>
      </c>
      <c r="E17" s="16">
        <f t="shared" si="3"/>
        <v>0.8</v>
      </c>
      <c r="F17" s="16">
        <f t="shared" si="3"/>
        <v>0</v>
      </c>
      <c r="G17" s="16">
        <f>G5-F5</f>
        <v>3.5</v>
      </c>
      <c r="H17" s="16">
        <f t="shared" ref="H17:J17" si="4">H5-G5</f>
        <v>0</v>
      </c>
      <c r="I17" s="16">
        <f t="shared" si="4"/>
        <v>0</v>
      </c>
      <c r="J17" s="16">
        <f t="shared" si="4"/>
        <v>995</v>
      </c>
    </row>
    <row r="18" spans="1:10" x14ac:dyDescent="0.45">
      <c r="A18" s="11">
        <v>1E-3</v>
      </c>
      <c r="B18" t="s">
        <v>78</v>
      </c>
      <c r="C18">
        <f t="shared" si="0"/>
        <v>0.3</v>
      </c>
      <c r="D18">
        <f t="shared" si="3"/>
        <v>0.39999999999999997</v>
      </c>
      <c r="E18">
        <f t="shared" si="3"/>
        <v>0.8</v>
      </c>
      <c r="F18">
        <f t="shared" si="3"/>
        <v>0</v>
      </c>
      <c r="G18">
        <f t="shared" ref="G18:J18" si="5">G6-F6</f>
        <v>5.5</v>
      </c>
      <c r="H18">
        <f t="shared" si="5"/>
        <v>63</v>
      </c>
      <c r="I18">
        <f t="shared" si="5"/>
        <v>230</v>
      </c>
      <c r="J18">
        <f t="shared" si="5"/>
        <v>700</v>
      </c>
    </row>
    <row r="19" spans="1:10" x14ac:dyDescent="0.45">
      <c r="A19" s="13">
        <v>0.01</v>
      </c>
      <c r="B19" s="14" t="s">
        <v>79</v>
      </c>
      <c r="C19" s="14">
        <f t="shared" si="0"/>
        <v>0.38</v>
      </c>
      <c r="D19" s="14">
        <f t="shared" si="3"/>
        <v>0.62</v>
      </c>
      <c r="E19" s="14">
        <f t="shared" si="3"/>
        <v>1.1000000000000001</v>
      </c>
      <c r="F19" s="14">
        <f t="shared" si="3"/>
        <v>0.89999999999999991</v>
      </c>
      <c r="G19" s="14">
        <f t="shared" ref="G19:J19" si="6">G7-F7</f>
        <v>8</v>
      </c>
      <c r="H19" s="14">
        <f t="shared" si="6"/>
        <v>24</v>
      </c>
      <c r="I19" s="14">
        <f t="shared" si="6"/>
        <v>45</v>
      </c>
      <c r="J19" s="14">
        <f t="shared" si="6"/>
        <v>920</v>
      </c>
    </row>
    <row r="20" spans="1:10" x14ac:dyDescent="0.45">
      <c r="A20" s="15">
        <v>0.01</v>
      </c>
      <c r="B20" s="16" t="s">
        <v>77</v>
      </c>
      <c r="C20" s="16">
        <f t="shared" si="0"/>
        <v>0.3</v>
      </c>
      <c r="D20" s="16">
        <f t="shared" si="3"/>
        <v>0.39999999999999997</v>
      </c>
      <c r="E20" s="16">
        <f t="shared" si="3"/>
        <v>0.8</v>
      </c>
      <c r="F20" s="16">
        <f t="shared" si="3"/>
        <v>0</v>
      </c>
      <c r="G20" s="16">
        <f t="shared" ref="G20:J20" si="7">G8-F8</f>
        <v>3.5</v>
      </c>
      <c r="H20" s="16">
        <f t="shared" si="7"/>
        <v>0</v>
      </c>
      <c r="I20" s="16">
        <f t="shared" si="7"/>
        <v>0</v>
      </c>
      <c r="J20" s="16">
        <f t="shared" si="7"/>
        <v>995</v>
      </c>
    </row>
    <row r="21" spans="1:10" x14ac:dyDescent="0.45">
      <c r="A21" s="11">
        <v>0.01</v>
      </c>
      <c r="B21" t="s">
        <v>78</v>
      </c>
      <c r="C21">
        <f t="shared" si="0"/>
        <v>0.3</v>
      </c>
      <c r="D21">
        <f t="shared" si="3"/>
        <v>0.39999999999999997</v>
      </c>
      <c r="E21">
        <f t="shared" si="3"/>
        <v>0.8</v>
      </c>
      <c r="F21">
        <f t="shared" si="3"/>
        <v>0</v>
      </c>
      <c r="G21">
        <f t="shared" ref="G21:J21" si="8">G9-F9</f>
        <v>5.5</v>
      </c>
      <c r="H21">
        <f t="shared" si="8"/>
        <v>63</v>
      </c>
      <c r="I21">
        <f t="shared" si="8"/>
        <v>230</v>
      </c>
      <c r="J21">
        <f t="shared" si="8"/>
        <v>700</v>
      </c>
    </row>
    <row r="22" spans="1:10" x14ac:dyDescent="0.45">
      <c r="A22" s="13">
        <v>0.1</v>
      </c>
      <c r="B22" s="14" t="s">
        <v>79</v>
      </c>
      <c r="C22" s="14">
        <f t="shared" si="0"/>
        <v>0.38</v>
      </c>
      <c r="D22" s="14">
        <f t="shared" si="3"/>
        <v>0.62</v>
      </c>
      <c r="E22" s="14">
        <f t="shared" si="3"/>
        <v>1.1000000000000001</v>
      </c>
      <c r="F22" s="14">
        <f t="shared" si="3"/>
        <v>2.9</v>
      </c>
      <c r="G22" s="14">
        <f t="shared" ref="G22:J22" si="9">G10-F10</f>
        <v>6</v>
      </c>
      <c r="H22" s="14">
        <f t="shared" si="9"/>
        <v>26</v>
      </c>
      <c r="I22" s="14">
        <f t="shared" si="9"/>
        <v>43</v>
      </c>
      <c r="J22" s="14">
        <f t="shared" si="9"/>
        <v>920</v>
      </c>
    </row>
    <row r="23" spans="1:10" x14ac:dyDescent="0.45">
      <c r="A23" s="15">
        <v>0.1</v>
      </c>
      <c r="B23" s="16" t="s">
        <v>77</v>
      </c>
      <c r="C23" s="16">
        <f t="shared" si="0"/>
        <v>0.3</v>
      </c>
      <c r="D23" s="16">
        <f t="shared" ref="D23:F24" si="10">D11-C11</f>
        <v>0.39999999999999997</v>
      </c>
      <c r="E23" s="16">
        <f t="shared" si="10"/>
        <v>0.8</v>
      </c>
      <c r="F23" s="16">
        <f t="shared" si="10"/>
        <v>1.5</v>
      </c>
      <c r="G23" s="16">
        <f>G11-F11</f>
        <v>2</v>
      </c>
      <c r="H23" s="16">
        <f t="shared" ref="H23:J23" si="11">H11-G11</f>
        <v>0</v>
      </c>
      <c r="I23" s="16">
        <f t="shared" si="11"/>
        <v>0</v>
      </c>
      <c r="J23" s="16">
        <f t="shared" si="11"/>
        <v>995</v>
      </c>
    </row>
    <row r="24" spans="1:10" x14ac:dyDescent="0.45">
      <c r="A24" s="11">
        <v>0.1</v>
      </c>
      <c r="B24" t="s">
        <v>78</v>
      </c>
      <c r="C24">
        <f t="shared" si="0"/>
        <v>0.3</v>
      </c>
      <c r="D24">
        <f t="shared" si="10"/>
        <v>0.39999999999999997</v>
      </c>
      <c r="E24">
        <f t="shared" si="10"/>
        <v>0.8</v>
      </c>
      <c r="F24">
        <f t="shared" si="10"/>
        <v>1.5</v>
      </c>
      <c r="G24">
        <f t="shared" ref="G24:J24" si="12">G12-F12</f>
        <v>4</v>
      </c>
      <c r="H24">
        <f t="shared" si="12"/>
        <v>63</v>
      </c>
      <c r="I24">
        <f t="shared" si="12"/>
        <v>230</v>
      </c>
      <c r="J24">
        <f t="shared" si="12"/>
        <v>700</v>
      </c>
    </row>
  </sheetData>
  <mergeCells count="2">
    <mergeCell ref="B2:K2"/>
    <mergeCell ref="B14:K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CF82D-E559-4505-AC06-38DDF4A20AB4}">
  <dimension ref="A1:P53"/>
  <sheetViews>
    <sheetView workbookViewId="0">
      <selection activeCell="H43" sqref="H43"/>
    </sheetView>
  </sheetViews>
  <sheetFormatPr defaultRowHeight="14.25" x14ac:dyDescent="0.45"/>
  <cols>
    <col min="2" max="2" width="16" customWidth="1"/>
    <col min="3" max="3" width="20.1328125" customWidth="1"/>
    <col min="4" max="4" width="9" customWidth="1"/>
    <col min="5" max="5" width="10.73046875" customWidth="1"/>
    <col min="6" max="6" width="10.265625" customWidth="1"/>
    <col min="7" max="7" width="10.59765625" customWidth="1"/>
    <col min="9" max="9" width="9.265625" customWidth="1"/>
  </cols>
  <sheetData>
    <row r="1" spans="1:16" x14ac:dyDescent="0.45">
      <c r="A1" t="s">
        <v>53</v>
      </c>
      <c r="B1" t="s">
        <v>54</v>
      </c>
      <c r="D1" s="21" t="s">
        <v>55</v>
      </c>
      <c r="E1" s="21"/>
      <c r="F1" s="21"/>
    </row>
    <row r="2" spans="1:16" x14ac:dyDescent="0.45">
      <c r="A2" t="s">
        <v>70</v>
      </c>
      <c r="B2" t="s">
        <v>69</v>
      </c>
      <c r="D2" s="10" t="s">
        <v>1</v>
      </c>
      <c r="E2" s="9" t="s">
        <v>2</v>
      </c>
      <c r="F2" t="s">
        <v>54</v>
      </c>
      <c r="H2" t="s">
        <v>2</v>
      </c>
      <c r="I2" t="s">
        <v>69</v>
      </c>
      <c r="J2" t="s">
        <v>68</v>
      </c>
      <c r="K2" t="s">
        <v>67</v>
      </c>
      <c r="L2" t="s">
        <v>66</v>
      </c>
      <c r="M2" t="s">
        <v>65</v>
      </c>
      <c r="N2" t="s">
        <v>46</v>
      </c>
      <c r="O2" t="s">
        <v>56</v>
      </c>
      <c r="P2" t="s">
        <v>57</v>
      </c>
    </row>
    <row r="3" spans="1:16" x14ac:dyDescent="0.45">
      <c r="A3" t="s">
        <v>58</v>
      </c>
      <c r="B3" t="s">
        <v>68</v>
      </c>
      <c r="D3" s="4">
        <v>0.2</v>
      </c>
      <c r="E3">
        <f>10^-3</f>
        <v>1E-3</v>
      </c>
      <c r="F3" s="17">
        <v>5</v>
      </c>
      <c r="H3">
        <v>1E-3</v>
      </c>
      <c r="I3">
        <v>0.2</v>
      </c>
    </row>
    <row r="4" spans="1:16" x14ac:dyDescent="0.45">
      <c r="A4" t="s">
        <v>59</v>
      </c>
      <c r="B4" t="s">
        <v>67</v>
      </c>
      <c r="D4" s="4">
        <v>0.4</v>
      </c>
      <c r="E4">
        <f>10^-3</f>
        <v>1E-3</v>
      </c>
      <c r="F4" s="17">
        <v>1</v>
      </c>
      <c r="H4">
        <v>1E-3</v>
      </c>
      <c r="J4">
        <v>0.4</v>
      </c>
    </row>
    <row r="5" spans="1:16" x14ac:dyDescent="0.45">
      <c r="A5" t="s">
        <v>60</v>
      </c>
      <c r="B5" t="s">
        <v>66</v>
      </c>
      <c r="D5" s="4">
        <v>0.6</v>
      </c>
      <c r="E5">
        <f t="shared" ref="E5:E19" si="0">10^-3</f>
        <v>1E-3</v>
      </c>
      <c r="F5" s="17">
        <v>1</v>
      </c>
      <c r="H5">
        <v>1E-3</v>
      </c>
      <c r="J5">
        <v>0.6</v>
      </c>
    </row>
    <row r="6" spans="1:16" x14ac:dyDescent="0.45">
      <c r="A6" t="s">
        <v>61</v>
      </c>
      <c r="B6" t="s">
        <v>65</v>
      </c>
      <c r="D6" s="4">
        <v>0.8</v>
      </c>
      <c r="E6">
        <f t="shared" si="0"/>
        <v>1E-3</v>
      </c>
      <c r="F6" s="17">
        <v>2</v>
      </c>
      <c r="H6">
        <v>1E-3</v>
      </c>
      <c r="K6">
        <v>0.8</v>
      </c>
    </row>
    <row r="7" spans="1:16" x14ac:dyDescent="0.45">
      <c r="A7" t="s">
        <v>62</v>
      </c>
      <c r="B7" t="s">
        <v>46</v>
      </c>
      <c r="D7" s="4">
        <v>1</v>
      </c>
      <c r="E7">
        <f t="shared" si="0"/>
        <v>1E-3</v>
      </c>
      <c r="F7" s="17">
        <v>2</v>
      </c>
      <c r="H7">
        <v>1E-3</v>
      </c>
      <c r="K7">
        <v>1</v>
      </c>
    </row>
    <row r="8" spans="1:16" x14ac:dyDescent="0.45">
      <c r="A8" t="s">
        <v>63</v>
      </c>
      <c r="B8" t="s">
        <v>56</v>
      </c>
      <c r="D8" s="4">
        <v>2</v>
      </c>
      <c r="E8">
        <f t="shared" si="0"/>
        <v>1E-3</v>
      </c>
      <c r="F8" s="17" t="s">
        <v>71</v>
      </c>
      <c r="H8">
        <v>1E-3</v>
      </c>
      <c r="M8">
        <v>2</v>
      </c>
    </row>
    <row r="9" spans="1:16" x14ac:dyDescent="0.45">
      <c r="A9" t="s">
        <v>64</v>
      </c>
      <c r="B9" t="s">
        <v>57</v>
      </c>
      <c r="D9" s="4">
        <v>4</v>
      </c>
      <c r="E9">
        <f t="shared" si="0"/>
        <v>1E-3</v>
      </c>
      <c r="F9" s="17" t="s">
        <v>71</v>
      </c>
      <c r="H9">
        <v>1E-3</v>
      </c>
      <c r="M9">
        <v>4</v>
      </c>
    </row>
    <row r="10" spans="1:16" x14ac:dyDescent="0.45">
      <c r="D10" s="4">
        <v>6</v>
      </c>
      <c r="E10">
        <f t="shared" si="0"/>
        <v>1E-3</v>
      </c>
      <c r="F10" s="17" t="s">
        <v>71</v>
      </c>
      <c r="H10">
        <v>1E-3</v>
      </c>
      <c r="M10">
        <v>6</v>
      </c>
    </row>
    <row r="11" spans="1:16" x14ac:dyDescent="0.45">
      <c r="D11" s="4">
        <v>8</v>
      </c>
      <c r="E11">
        <f t="shared" si="0"/>
        <v>1E-3</v>
      </c>
      <c r="F11" s="17" t="s">
        <v>72</v>
      </c>
      <c r="H11">
        <v>1E-3</v>
      </c>
      <c r="N11">
        <v>8</v>
      </c>
    </row>
    <row r="12" spans="1:16" x14ac:dyDescent="0.45">
      <c r="D12" s="4">
        <v>10</v>
      </c>
      <c r="E12">
        <f t="shared" si="0"/>
        <v>1E-3</v>
      </c>
      <c r="F12" s="17" t="s">
        <v>72</v>
      </c>
      <c r="H12">
        <v>1E-3</v>
      </c>
      <c r="N12">
        <v>10</v>
      </c>
    </row>
    <row r="13" spans="1:16" x14ac:dyDescent="0.45">
      <c r="D13" s="4">
        <v>20</v>
      </c>
      <c r="E13">
        <f t="shared" si="0"/>
        <v>1E-3</v>
      </c>
      <c r="F13" s="17" t="s">
        <v>72</v>
      </c>
      <c r="H13">
        <v>1E-3</v>
      </c>
      <c r="N13">
        <v>20</v>
      </c>
    </row>
    <row r="14" spans="1:16" x14ac:dyDescent="0.45">
      <c r="D14" s="4">
        <v>40</v>
      </c>
      <c r="E14">
        <f t="shared" si="0"/>
        <v>1E-3</v>
      </c>
      <c r="F14" s="17" t="s">
        <v>72</v>
      </c>
      <c r="H14">
        <v>1E-3</v>
      </c>
      <c r="N14">
        <v>40</v>
      </c>
    </row>
    <row r="15" spans="1:16" x14ac:dyDescent="0.45">
      <c r="D15" s="4">
        <v>60</v>
      </c>
      <c r="E15">
        <f t="shared" si="0"/>
        <v>1E-3</v>
      </c>
      <c r="F15" s="17" t="s">
        <v>72</v>
      </c>
      <c r="H15">
        <v>1E-3</v>
      </c>
      <c r="N15">
        <v>60</v>
      </c>
    </row>
    <row r="16" spans="1:16" x14ac:dyDescent="0.45">
      <c r="D16" s="4">
        <v>80</v>
      </c>
      <c r="E16">
        <f t="shared" si="0"/>
        <v>1E-3</v>
      </c>
      <c r="F16" s="17" t="s">
        <v>73</v>
      </c>
      <c r="H16">
        <v>1E-3</v>
      </c>
      <c r="O16">
        <v>80</v>
      </c>
    </row>
    <row r="17" spans="4:16" x14ac:dyDescent="0.45">
      <c r="D17" s="4">
        <v>100</v>
      </c>
      <c r="E17">
        <f t="shared" si="0"/>
        <v>1E-3</v>
      </c>
      <c r="F17" s="17" t="s">
        <v>73</v>
      </c>
      <c r="H17">
        <v>1E-3</v>
      </c>
      <c r="O17">
        <v>100</v>
      </c>
    </row>
    <row r="18" spans="4:16" x14ac:dyDescent="0.45">
      <c r="D18" s="4">
        <v>200</v>
      </c>
      <c r="E18">
        <f t="shared" si="0"/>
        <v>1E-3</v>
      </c>
      <c r="F18" s="17" t="s">
        <v>73</v>
      </c>
      <c r="H18">
        <v>1E-3</v>
      </c>
      <c r="O18">
        <v>200</v>
      </c>
    </row>
    <row r="19" spans="4:16" x14ac:dyDescent="0.45">
      <c r="D19" s="4">
        <v>400</v>
      </c>
      <c r="E19">
        <f t="shared" si="0"/>
        <v>1E-3</v>
      </c>
      <c r="F19" s="17" t="s">
        <v>74</v>
      </c>
      <c r="H19">
        <v>1E-3</v>
      </c>
      <c r="P19">
        <v>400</v>
      </c>
    </row>
    <row r="20" spans="4:16" x14ac:dyDescent="0.45">
      <c r="D20" s="4">
        <v>0.2</v>
      </c>
      <c r="E20">
        <f>10^-3</f>
        <v>1E-3</v>
      </c>
      <c r="F20" s="17">
        <v>5</v>
      </c>
      <c r="H20">
        <v>0.01</v>
      </c>
      <c r="I20">
        <v>0.2</v>
      </c>
    </row>
    <row r="21" spans="4:16" x14ac:dyDescent="0.45">
      <c r="D21" s="4">
        <v>0.4</v>
      </c>
      <c r="E21">
        <f>10^-2</f>
        <v>0.01</v>
      </c>
      <c r="F21" s="17">
        <v>1</v>
      </c>
      <c r="H21">
        <v>0.01</v>
      </c>
      <c r="J21">
        <v>0.4</v>
      </c>
    </row>
    <row r="22" spans="4:16" x14ac:dyDescent="0.45">
      <c r="D22" s="4">
        <v>0.6</v>
      </c>
      <c r="E22">
        <f t="shared" ref="E22:E36" si="1">10^-2</f>
        <v>0.01</v>
      </c>
      <c r="F22" s="17">
        <v>1</v>
      </c>
      <c r="H22">
        <v>0.01</v>
      </c>
      <c r="J22">
        <v>0.6</v>
      </c>
    </row>
    <row r="23" spans="4:16" x14ac:dyDescent="0.45">
      <c r="D23" s="4">
        <v>0.8</v>
      </c>
      <c r="E23">
        <f t="shared" si="1"/>
        <v>0.01</v>
      </c>
      <c r="F23" s="17">
        <v>2</v>
      </c>
      <c r="H23">
        <v>0.01</v>
      </c>
      <c r="K23">
        <v>0.8</v>
      </c>
    </row>
    <row r="24" spans="4:16" x14ac:dyDescent="0.45">
      <c r="D24" s="4">
        <v>1</v>
      </c>
      <c r="E24">
        <f t="shared" si="1"/>
        <v>0.01</v>
      </c>
      <c r="F24" s="17">
        <v>2</v>
      </c>
      <c r="H24">
        <v>0.01</v>
      </c>
      <c r="K24">
        <v>1</v>
      </c>
    </row>
    <row r="25" spans="4:16" x14ac:dyDescent="0.45">
      <c r="D25" s="4">
        <v>2</v>
      </c>
      <c r="E25">
        <f t="shared" si="1"/>
        <v>0.01</v>
      </c>
      <c r="F25" s="17" t="s">
        <v>71</v>
      </c>
      <c r="H25">
        <v>0.01</v>
      </c>
      <c r="M25">
        <v>2</v>
      </c>
    </row>
    <row r="26" spans="4:16" x14ac:dyDescent="0.45">
      <c r="D26" s="4">
        <v>4</v>
      </c>
      <c r="E26">
        <f t="shared" si="1"/>
        <v>0.01</v>
      </c>
      <c r="F26" s="17" t="s">
        <v>71</v>
      </c>
      <c r="H26">
        <v>0.01</v>
      </c>
      <c r="M26">
        <v>4</v>
      </c>
    </row>
    <row r="27" spans="4:16" x14ac:dyDescent="0.45">
      <c r="D27" s="4">
        <v>6</v>
      </c>
      <c r="E27">
        <f t="shared" si="1"/>
        <v>0.01</v>
      </c>
      <c r="F27" s="17" t="s">
        <v>71</v>
      </c>
      <c r="H27">
        <v>0.01</v>
      </c>
      <c r="M27">
        <v>6</v>
      </c>
    </row>
    <row r="28" spans="4:16" x14ac:dyDescent="0.45">
      <c r="D28" s="4">
        <v>8</v>
      </c>
      <c r="E28">
        <f t="shared" si="1"/>
        <v>0.01</v>
      </c>
      <c r="F28" s="17" t="s">
        <v>72</v>
      </c>
      <c r="H28">
        <v>0.01</v>
      </c>
      <c r="N28">
        <v>8</v>
      </c>
    </row>
    <row r="29" spans="4:16" x14ac:dyDescent="0.45">
      <c r="D29" s="4">
        <v>10</v>
      </c>
      <c r="E29">
        <f t="shared" si="1"/>
        <v>0.01</v>
      </c>
      <c r="F29" s="17" t="s">
        <v>72</v>
      </c>
      <c r="H29">
        <v>0.01</v>
      </c>
      <c r="N29">
        <v>10</v>
      </c>
    </row>
    <row r="30" spans="4:16" x14ac:dyDescent="0.45">
      <c r="D30" s="4">
        <v>20</v>
      </c>
      <c r="E30">
        <f t="shared" si="1"/>
        <v>0.01</v>
      </c>
      <c r="F30" s="17" t="s">
        <v>72</v>
      </c>
      <c r="H30">
        <v>0.01</v>
      </c>
      <c r="N30">
        <v>20</v>
      </c>
    </row>
    <row r="31" spans="4:16" x14ac:dyDescent="0.45">
      <c r="D31" s="4">
        <v>40</v>
      </c>
      <c r="E31">
        <f t="shared" si="1"/>
        <v>0.01</v>
      </c>
      <c r="F31" s="17" t="s">
        <v>72</v>
      </c>
      <c r="H31">
        <v>0.01</v>
      </c>
      <c r="N31">
        <v>40</v>
      </c>
    </row>
    <row r="32" spans="4:16" x14ac:dyDescent="0.45">
      <c r="D32" s="4">
        <v>60</v>
      </c>
      <c r="E32">
        <f t="shared" si="1"/>
        <v>0.01</v>
      </c>
      <c r="F32" s="17" t="s">
        <v>72</v>
      </c>
      <c r="H32">
        <v>0.01</v>
      </c>
      <c r="N32">
        <v>60</v>
      </c>
    </row>
    <row r="33" spans="4:16" x14ac:dyDescent="0.45">
      <c r="D33" s="4">
        <v>80</v>
      </c>
      <c r="E33">
        <f t="shared" si="1"/>
        <v>0.01</v>
      </c>
      <c r="F33" s="17" t="s">
        <v>72</v>
      </c>
      <c r="H33">
        <v>0.01</v>
      </c>
      <c r="O33">
        <v>80</v>
      </c>
    </row>
    <row r="34" spans="4:16" x14ac:dyDescent="0.45">
      <c r="D34" s="4">
        <v>100</v>
      </c>
      <c r="E34">
        <f t="shared" si="1"/>
        <v>0.01</v>
      </c>
      <c r="F34" s="17" t="s">
        <v>73</v>
      </c>
      <c r="H34">
        <v>0.01</v>
      </c>
      <c r="O34">
        <v>100</v>
      </c>
    </row>
    <row r="35" spans="4:16" x14ac:dyDescent="0.45">
      <c r="D35" s="4">
        <v>200</v>
      </c>
      <c r="E35">
        <f t="shared" si="1"/>
        <v>0.01</v>
      </c>
      <c r="F35" s="17" t="s">
        <v>73</v>
      </c>
      <c r="H35">
        <v>0.01</v>
      </c>
      <c r="O35">
        <v>200</v>
      </c>
    </row>
    <row r="36" spans="4:16" x14ac:dyDescent="0.45">
      <c r="D36" s="4">
        <v>400</v>
      </c>
      <c r="E36">
        <f t="shared" si="1"/>
        <v>0.01</v>
      </c>
      <c r="F36" s="17" t="s">
        <v>74</v>
      </c>
      <c r="H36">
        <v>0.01</v>
      </c>
      <c r="P36">
        <v>400</v>
      </c>
    </row>
    <row r="37" spans="4:16" x14ac:dyDescent="0.45">
      <c r="D37" s="4">
        <v>0.2</v>
      </c>
      <c r="E37">
        <v>0.1</v>
      </c>
      <c r="F37" s="17">
        <v>5</v>
      </c>
      <c r="H37">
        <v>0.1</v>
      </c>
      <c r="I37">
        <v>0.2</v>
      </c>
    </row>
    <row r="38" spans="4:16" x14ac:dyDescent="0.45">
      <c r="D38" s="4">
        <v>0.4</v>
      </c>
      <c r="E38">
        <f>10^-1</f>
        <v>0.1</v>
      </c>
      <c r="F38" s="17">
        <v>1</v>
      </c>
      <c r="H38">
        <v>0.1</v>
      </c>
      <c r="J38">
        <v>0.4</v>
      </c>
    </row>
    <row r="39" spans="4:16" x14ac:dyDescent="0.45">
      <c r="D39" s="4">
        <v>0.6</v>
      </c>
      <c r="E39">
        <f t="shared" ref="E39:E53" si="2">10^-1</f>
        <v>0.1</v>
      </c>
      <c r="F39" s="17">
        <v>1</v>
      </c>
      <c r="H39">
        <v>0.1</v>
      </c>
      <c r="J39">
        <v>0.6</v>
      </c>
    </row>
    <row r="40" spans="4:16" x14ac:dyDescent="0.45">
      <c r="D40" s="4">
        <v>0.8</v>
      </c>
      <c r="E40">
        <f t="shared" si="2"/>
        <v>0.1</v>
      </c>
      <c r="F40" s="17">
        <v>2</v>
      </c>
      <c r="H40">
        <v>0.1</v>
      </c>
      <c r="K40">
        <v>0.8</v>
      </c>
    </row>
    <row r="41" spans="4:16" x14ac:dyDescent="0.45">
      <c r="D41" s="4">
        <v>1</v>
      </c>
      <c r="E41">
        <f t="shared" si="2"/>
        <v>0.1</v>
      </c>
      <c r="F41" s="17">
        <v>2</v>
      </c>
      <c r="H41">
        <v>0.1</v>
      </c>
      <c r="K41">
        <v>1</v>
      </c>
    </row>
    <row r="42" spans="4:16" x14ac:dyDescent="0.45">
      <c r="D42" s="4">
        <v>2</v>
      </c>
      <c r="E42">
        <f t="shared" si="2"/>
        <v>0.1</v>
      </c>
      <c r="F42" s="17" t="s">
        <v>75</v>
      </c>
      <c r="H42">
        <v>0.1</v>
      </c>
      <c r="L42">
        <v>2</v>
      </c>
    </row>
    <row r="43" spans="4:16" x14ac:dyDescent="0.45">
      <c r="D43" s="4">
        <v>4</v>
      </c>
      <c r="E43">
        <f t="shared" si="2"/>
        <v>0.1</v>
      </c>
      <c r="F43" s="17" t="s">
        <v>71</v>
      </c>
      <c r="H43">
        <v>0.1</v>
      </c>
      <c r="M43">
        <v>4</v>
      </c>
    </row>
    <row r="44" spans="4:16" x14ac:dyDescent="0.45">
      <c r="D44" s="4">
        <v>6</v>
      </c>
      <c r="E44">
        <f t="shared" si="2"/>
        <v>0.1</v>
      </c>
      <c r="F44" s="17" t="s">
        <v>71</v>
      </c>
      <c r="H44">
        <v>0.1</v>
      </c>
      <c r="M44">
        <v>6</v>
      </c>
    </row>
    <row r="45" spans="4:16" x14ac:dyDescent="0.45">
      <c r="D45" s="4">
        <v>8</v>
      </c>
      <c r="E45">
        <f t="shared" si="2"/>
        <v>0.1</v>
      </c>
      <c r="F45" s="17" t="s">
        <v>72</v>
      </c>
      <c r="H45">
        <v>0.1</v>
      </c>
      <c r="N45">
        <v>8</v>
      </c>
    </row>
    <row r="46" spans="4:16" x14ac:dyDescent="0.45">
      <c r="D46" s="4">
        <v>10</v>
      </c>
      <c r="E46">
        <f t="shared" si="2"/>
        <v>0.1</v>
      </c>
      <c r="F46" s="17" t="s">
        <v>72</v>
      </c>
      <c r="H46">
        <v>0.1</v>
      </c>
      <c r="N46">
        <v>10</v>
      </c>
    </row>
    <row r="47" spans="4:16" x14ac:dyDescent="0.45">
      <c r="D47" s="4">
        <v>20</v>
      </c>
      <c r="E47">
        <f t="shared" si="2"/>
        <v>0.1</v>
      </c>
      <c r="F47" s="17" t="s">
        <v>72</v>
      </c>
      <c r="H47">
        <v>0.1</v>
      </c>
      <c r="N47">
        <v>20</v>
      </c>
    </row>
    <row r="48" spans="4:16" x14ac:dyDescent="0.45">
      <c r="D48" s="4">
        <v>40</v>
      </c>
      <c r="E48">
        <f t="shared" si="2"/>
        <v>0.1</v>
      </c>
      <c r="F48" s="17" t="s">
        <v>72</v>
      </c>
      <c r="H48">
        <v>0.1</v>
      </c>
      <c r="N48">
        <v>40</v>
      </c>
    </row>
    <row r="49" spans="4:16" x14ac:dyDescent="0.45">
      <c r="D49" s="4">
        <v>60</v>
      </c>
      <c r="E49">
        <f t="shared" si="2"/>
        <v>0.1</v>
      </c>
      <c r="F49" s="17" t="s">
        <v>72</v>
      </c>
      <c r="H49">
        <v>0.1</v>
      </c>
      <c r="N49">
        <v>60</v>
      </c>
    </row>
    <row r="50" spans="4:16" x14ac:dyDescent="0.45">
      <c r="D50" s="4">
        <v>80</v>
      </c>
      <c r="E50">
        <f t="shared" si="2"/>
        <v>0.1</v>
      </c>
      <c r="F50" s="17" t="s">
        <v>73</v>
      </c>
      <c r="H50">
        <v>0.1</v>
      </c>
      <c r="O50">
        <v>80</v>
      </c>
    </row>
    <row r="51" spans="4:16" x14ac:dyDescent="0.45">
      <c r="D51" s="4">
        <v>100</v>
      </c>
      <c r="E51">
        <f t="shared" si="2"/>
        <v>0.1</v>
      </c>
      <c r="F51" s="17" t="s">
        <v>73</v>
      </c>
      <c r="H51">
        <v>0.1</v>
      </c>
      <c r="O51">
        <v>100</v>
      </c>
    </row>
    <row r="52" spans="4:16" x14ac:dyDescent="0.45">
      <c r="D52" s="4">
        <v>200</v>
      </c>
      <c r="E52">
        <f t="shared" si="2"/>
        <v>0.1</v>
      </c>
      <c r="F52" s="17" t="s">
        <v>73</v>
      </c>
      <c r="H52">
        <v>0.1</v>
      </c>
      <c r="O52">
        <v>200</v>
      </c>
    </row>
    <row r="53" spans="4:16" x14ac:dyDescent="0.45">
      <c r="D53" s="4">
        <v>400</v>
      </c>
      <c r="E53">
        <f t="shared" si="2"/>
        <v>0.1</v>
      </c>
      <c r="F53" s="17" t="s">
        <v>74</v>
      </c>
      <c r="H53">
        <v>0.1</v>
      </c>
      <c r="P53">
        <v>400</v>
      </c>
    </row>
  </sheetData>
  <mergeCells count="1">
    <mergeCell ref="D1: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9DC54-A25F-4D55-92C3-35D73E800087}">
  <dimension ref="A1:N64"/>
  <sheetViews>
    <sheetView topLeftCell="A22" workbookViewId="0">
      <selection activeCell="N54" sqref="N54"/>
    </sheetView>
  </sheetViews>
  <sheetFormatPr defaultRowHeight="14.25" x14ac:dyDescent="0.45"/>
  <cols>
    <col min="2" max="2" width="16" customWidth="1"/>
    <col min="3" max="3" width="20.1328125" customWidth="1"/>
    <col min="4" max="4" width="9" customWidth="1"/>
    <col min="5" max="5" width="10.73046875" customWidth="1"/>
    <col min="6" max="6" width="10.265625" customWidth="1"/>
    <col min="7" max="7" width="10.59765625" customWidth="1"/>
    <col min="9" max="9" width="9.265625" customWidth="1"/>
  </cols>
  <sheetData>
    <row r="1" spans="1:14" x14ac:dyDescent="0.45">
      <c r="A1" t="s">
        <v>53</v>
      </c>
      <c r="B1" t="s">
        <v>54</v>
      </c>
      <c r="D1" s="21" t="s">
        <v>55</v>
      </c>
      <c r="E1" s="21"/>
      <c r="F1" s="21"/>
    </row>
    <row r="2" spans="1:14" x14ac:dyDescent="0.45">
      <c r="A2" t="s">
        <v>70</v>
      </c>
      <c r="B2" t="s">
        <v>69</v>
      </c>
      <c r="D2" s="10" t="s">
        <v>1</v>
      </c>
      <c r="E2" s="9" t="s">
        <v>2</v>
      </c>
      <c r="F2" t="s">
        <v>54</v>
      </c>
      <c r="H2" t="s">
        <v>2</v>
      </c>
      <c r="I2" t="s">
        <v>69</v>
      </c>
      <c r="J2" t="s">
        <v>68</v>
      </c>
      <c r="K2" t="s">
        <v>67</v>
      </c>
      <c r="L2" t="s">
        <v>66</v>
      </c>
      <c r="M2" t="s">
        <v>65</v>
      </c>
      <c r="N2" t="s">
        <v>46</v>
      </c>
    </row>
    <row r="3" spans="1:14" x14ac:dyDescent="0.45">
      <c r="A3" t="s">
        <v>58</v>
      </c>
      <c r="B3" t="s">
        <v>68</v>
      </c>
      <c r="D3" s="4">
        <v>0.2</v>
      </c>
      <c r="E3">
        <f>10^-3</f>
        <v>1E-3</v>
      </c>
      <c r="F3" s="17">
        <v>5</v>
      </c>
      <c r="H3">
        <v>1E-3</v>
      </c>
      <c r="I3">
        <v>0.2</v>
      </c>
    </row>
    <row r="4" spans="1:14" x14ac:dyDescent="0.45">
      <c r="A4" t="s">
        <v>59</v>
      </c>
      <c r="B4" t="s">
        <v>67</v>
      </c>
      <c r="D4" s="4">
        <v>0.4</v>
      </c>
      <c r="E4">
        <f>10^-3</f>
        <v>1E-3</v>
      </c>
      <c r="F4" s="17">
        <v>1</v>
      </c>
      <c r="H4">
        <v>1E-3</v>
      </c>
      <c r="J4">
        <v>0.4</v>
      </c>
    </row>
    <row r="5" spans="1:14" x14ac:dyDescent="0.45">
      <c r="A5" t="s">
        <v>60</v>
      </c>
      <c r="B5" t="s">
        <v>66</v>
      </c>
      <c r="D5" s="4">
        <v>0.6</v>
      </c>
      <c r="E5">
        <f t="shared" ref="E5:E19" si="0">10^-3</f>
        <v>1E-3</v>
      </c>
      <c r="F5" s="17">
        <v>1</v>
      </c>
      <c r="H5">
        <v>1E-3</v>
      </c>
      <c r="J5">
        <v>0.6</v>
      </c>
    </row>
    <row r="6" spans="1:14" x14ac:dyDescent="0.45">
      <c r="A6" t="s">
        <v>61</v>
      </c>
      <c r="B6" t="s">
        <v>65</v>
      </c>
      <c r="D6" s="4">
        <v>0.8</v>
      </c>
      <c r="E6">
        <f t="shared" si="0"/>
        <v>1E-3</v>
      </c>
      <c r="F6" s="17">
        <v>2</v>
      </c>
      <c r="H6">
        <v>1E-3</v>
      </c>
      <c r="K6">
        <v>0.8</v>
      </c>
    </row>
    <row r="7" spans="1:14" x14ac:dyDescent="0.45">
      <c r="A7" t="s">
        <v>62</v>
      </c>
      <c r="B7" t="s">
        <v>76</v>
      </c>
      <c r="D7" s="4">
        <v>1</v>
      </c>
      <c r="E7">
        <f t="shared" si="0"/>
        <v>1E-3</v>
      </c>
      <c r="F7" s="17">
        <v>2</v>
      </c>
      <c r="H7">
        <v>1E-3</v>
      </c>
      <c r="K7">
        <v>1</v>
      </c>
    </row>
    <row r="8" spans="1:14" x14ac:dyDescent="0.45">
      <c r="D8" s="4">
        <v>2</v>
      </c>
      <c r="E8">
        <f t="shared" si="0"/>
        <v>1E-3</v>
      </c>
      <c r="F8" s="17" t="s">
        <v>71</v>
      </c>
      <c r="H8">
        <v>1E-3</v>
      </c>
      <c r="M8">
        <v>2</v>
      </c>
    </row>
    <row r="9" spans="1:14" x14ac:dyDescent="0.45">
      <c r="D9" s="4">
        <v>4</v>
      </c>
      <c r="E9">
        <f t="shared" si="0"/>
        <v>1E-3</v>
      </c>
      <c r="F9" s="17" t="s">
        <v>71</v>
      </c>
      <c r="H9">
        <v>1E-3</v>
      </c>
      <c r="M9">
        <v>4</v>
      </c>
    </row>
    <row r="10" spans="1:14" x14ac:dyDescent="0.45">
      <c r="D10" s="4">
        <v>6</v>
      </c>
      <c r="E10">
        <f t="shared" si="0"/>
        <v>1E-3</v>
      </c>
      <c r="F10" s="17" t="s">
        <v>71</v>
      </c>
      <c r="H10">
        <v>1E-3</v>
      </c>
      <c r="M10">
        <v>6</v>
      </c>
    </row>
    <row r="11" spans="1:14" x14ac:dyDescent="0.45">
      <c r="D11" s="4">
        <v>8</v>
      </c>
      <c r="E11">
        <f t="shared" si="0"/>
        <v>1E-3</v>
      </c>
      <c r="F11" s="17" t="s">
        <v>72</v>
      </c>
      <c r="H11">
        <v>1E-3</v>
      </c>
      <c r="N11">
        <v>8</v>
      </c>
    </row>
    <row r="12" spans="1:14" x14ac:dyDescent="0.45">
      <c r="D12" s="4">
        <v>10</v>
      </c>
      <c r="E12">
        <f t="shared" si="0"/>
        <v>1E-3</v>
      </c>
      <c r="F12" s="17" t="s">
        <v>72</v>
      </c>
      <c r="H12">
        <v>1E-3</v>
      </c>
      <c r="N12">
        <v>10</v>
      </c>
    </row>
    <row r="13" spans="1:14" x14ac:dyDescent="0.45">
      <c r="D13" s="4">
        <v>20</v>
      </c>
      <c r="E13">
        <f t="shared" si="0"/>
        <v>1E-3</v>
      </c>
      <c r="F13" s="17" t="s">
        <v>72</v>
      </c>
      <c r="H13">
        <v>1E-3</v>
      </c>
      <c r="N13">
        <v>20</v>
      </c>
    </row>
    <row r="14" spans="1:14" x14ac:dyDescent="0.45">
      <c r="D14" s="4">
        <v>40</v>
      </c>
      <c r="E14">
        <f t="shared" si="0"/>
        <v>1E-3</v>
      </c>
      <c r="F14" s="17" t="s">
        <v>72</v>
      </c>
      <c r="H14">
        <v>1E-3</v>
      </c>
      <c r="N14">
        <v>40</v>
      </c>
    </row>
    <row r="15" spans="1:14" x14ac:dyDescent="0.45">
      <c r="D15" s="4">
        <v>60</v>
      </c>
      <c r="E15">
        <f t="shared" si="0"/>
        <v>1E-3</v>
      </c>
      <c r="F15" s="17" t="s">
        <v>72</v>
      </c>
      <c r="H15">
        <v>1E-3</v>
      </c>
      <c r="N15">
        <v>60</v>
      </c>
    </row>
    <row r="16" spans="1:14" x14ac:dyDescent="0.45">
      <c r="D16" s="4">
        <v>80</v>
      </c>
      <c r="E16">
        <f t="shared" si="0"/>
        <v>1E-3</v>
      </c>
      <c r="F16" s="17" t="s">
        <v>72</v>
      </c>
      <c r="H16">
        <v>1E-3</v>
      </c>
      <c r="N16">
        <v>80</v>
      </c>
    </row>
    <row r="17" spans="4:14" x14ac:dyDescent="0.45">
      <c r="D17" s="4">
        <v>100</v>
      </c>
      <c r="E17">
        <f t="shared" si="0"/>
        <v>1E-3</v>
      </c>
      <c r="F17" s="17" t="s">
        <v>72</v>
      </c>
      <c r="H17">
        <v>1E-3</v>
      </c>
      <c r="N17">
        <v>100</v>
      </c>
    </row>
    <row r="18" spans="4:14" x14ac:dyDescent="0.45">
      <c r="D18" s="4">
        <v>200</v>
      </c>
      <c r="E18">
        <f t="shared" si="0"/>
        <v>1E-3</v>
      </c>
      <c r="F18" s="17" t="s">
        <v>72</v>
      </c>
      <c r="H18">
        <v>1E-3</v>
      </c>
      <c r="N18">
        <v>200</v>
      </c>
    </row>
    <row r="19" spans="4:14" x14ac:dyDescent="0.45">
      <c r="D19" s="4">
        <v>400</v>
      </c>
      <c r="E19">
        <f t="shared" si="0"/>
        <v>1E-3</v>
      </c>
      <c r="F19" s="17" t="s">
        <v>72</v>
      </c>
      <c r="H19">
        <v>1E-3</v>
      </c>
      <c r="N19">
        <v>400</v>
      </c>
    </row>
    <row r="20" spans="4:14" x14ac:dyDescent="0.45">
      <c r="D20" s="4">
        <v>0.2</v>
      </c>
      <c r="E20">
        <f>10^-3</f>
        <v>1E-3</v>
      </c>
      <c r="F20" s="17">
        <v>5</v>
      </c>
      <c r="H20">
        <v>0.01</v>
      </c>
      <c r="I20">
        <v>0.2</v>
      </c>
    </row>
    <row r="21" spans="4:14" x14ac:dyDescent="0.45">
      <c r="D21" s="4">
        <v>0.4</v>
      </c>
      <c r="E21">
        <f>10^-2</f>
        <v>0.01</v>
      </c>
      <c r="F21" s="17">
        <v>1</v>
      </c>
      <c r="H21">
        <v>0.01</v>
      </c>
      <c r="J21">
        <v>0.4</v>
      </c>
    </row>
    <row r="22" spans="4:14" x14ac:dyDescent="0.45">
      <c r="D22" s="4">
        <v>0.6</v>
      </c>
      <c r="E22">
        <f t="shared" ref="E22:E36" si="1">10^-2</f>
        <v>0.01</v>
      </c>
      <c r="F22" s="17">
        <v>1</v>
      </c>
      <c r="H22">
        <v>0.01</v>
      </c>
      <c r="J22">
        <v>0.6</v>
      </c>
    </row>
    <row r="23" spans="4:14" x14ac:dyDescent="0.45">
      <c r="D23" s="4">
        <v>0.8</v>
      </c>
      <c r="E23">
        <f t="shared" si="1"/>
        <v>0.01</v>
      </c>
      <c r="F23" s="17">
        <v>2</v>
      </c>
      <c r="H23">
        <v>0.01</v>
      </c>
      <c r="K23">
        <v>0.8</v>
      </c>
    </row>
    <row r="24" spans="4:14" x14ac:dyDescent="0.45">
      <c r="D24" s="4">
        <v>1</v>
      </c>
      <c r="E24">
        <f t="shared" si="1"/>
        <v>0.01</v>
      </c>
      <c r="F24" s="17">
        <v>2</v>
      </c>
      <c r="H24">
        <v>0.01</v>
      </c>
      <c r="K24">
        <v>1</v>
      </c>
    </row>
    <row r="25" spans="4:14" x14ac:dyDescent="0.45">
      <c r="D25" s="4">
        <v>2</v>
      </c>
      <c r="E25">
        <f t="shared" si="1"/>
        <v>0.01</v>
      </c>
      <c r="F25" s="17" t="s">
        <v>71</v>
      </c>
      <c r="H25">
        <v>0.01</v>
      </c>
      <c r="M25">
        <v>2</v>
      </c>
    </row>
    <row r="26" spans="4:14" x14ac:dyDescent="0.45">
      <c r="D26" s="4">
        <v>4</v>
      </c>
      <c r="E26">
        <f t="shared" si="1"/>
        <v>0.01</v>
      </c>
      <c r="F26" s="17" t="s">
        <v>71</v>
      </c>
      <c r="H26">
        <v>0.01</v>
      </c>
      <c r="M26">
        <v>4</v>
      </c>
    </row>
    <row r="27" spans="4:14" x14ac:dyDescent="0.45">
      <c r="D27" s="4">
        <v>6</v>
      </c>
      <c r="E27">
        <f t="shared" si="1"/>
        <v>0.01</v>
      </c>
      <c r="F27" s="17" t="s">
        <v>71</v>
      </c>
      <c r="H27">
        <v>0.01</v>
      </c>
      <c r="M27">
        <v>6</v>
      </c>
    </row>
    <row r="28" spans="4:14" x14ac:dyDescent="0.45">
      <c r="D28" s="4">
        <v>8</v>
      </c>
      <c r="E28">
        <f t="shared" si="1"/>
        <v>0.01</v>
      </c>
      <c r="F28" s="17" t="s">
        <v>72</v>
      </c>
      <c r="H28">
        <v>0.01</v>
      </c>
      <c r="N28">
        <v>8</v>
      </c>
    </row>
    <row r="29" spans="4:14" x14ac:dyDescent="0.45">
      <c r="D29" s="4">
        <v>10</v>
      </c>
      <c r="E29">
        <f t="shared" si="1"/>
        <v>0.01</v>
      </c>
      <c r="F29" s="17" t="s">
        <v>72</v>
      </c>
      <c r="H29">
        <v>0.01</v>
      </c>
      <c r="N29">
        <v>10</v>
      </c>
    </row>
    <row r="30" spans="4:14" x14ac:dyDescent="0.45">
      <c r="D30" s="4">
        <v>20</v>
      </c>
      <c r="E30">
        <f t="shared" si="1"/>
        <v>0.01</v>
      </c>
      <c r="F30" s="17" t="s">
        <v>72</v>
      </c>
      <c r="H30">
        <v>0.01</v>
      </c>
      <c r="N30">
        <v>20</v>
      </c>
    </row>
    <row r="31" spans="4:14" x14ac:dyDescent="0.45">
      <c r="D31" s="4">
        <v>40</v>
      </c>
      <c r="E31">
        <f t="shared" si="1"/>
        <v>0.01</v>
      </c>
      <c r="F31" s="17" t="s">
        <v>72</v>
      </c>
      <c r="H31">
        <v>0.01</v>
      </c>
      <c r="N31">
        <v>40</v>
      </c>
    </row>
    <row r="32" spans="4:14" x14ac:dyDescent="0.45">
      <c r="D32" s="4">
        <v>60</v>
      </c>
      <c r="E32">
        <f t="shared" si="1"/>
        <v>0.01</v>
      </c>
      <c r="F32" s="17" t="s">
        <v>72</v>
      </c>
      <c r="H32">
        <v>0.01</v>
      </c>
      <c r="N32">
        <v>60</v>
      </c>
    </row>
    <row r="33" spans="4:14" x14ac:dyDescent="0.45">
      <c r="D33" s="4">
        <v>80</v>
      </c>
      <c r="E33">
        <f t="shared" si="1"/>
        <v>0.01</v>
      </c>
      <c r="F33" s="17" t="s">
        <v>72</v>
      </c>
      <c r="H33">
        <v>0.01</v>
      </c>
      <c r="N33">
        <v>80</v>
      </c>
    </row>
    <row r="34" spans="4:14" x14ac:dyDescent="0.45">
      <c r="D34" s="4">
        <v>100</v>
      </c>
      <c r="E34">
        <f t="shared" si="1"/>
        <v>0.01</v>
      </c>
      <c r="F34" s="17" t="s">
        <v>72</v>
      </c>
      <c r="H34">
        <v>0.01</v>
      </c>
      <c r="N34">
        <v>100</v>
      </c>
    </row>
    <row r="35" spans="4:14" x14ac:dyDescent="0.45">
      <c r="D35" s="4">
        <v>200</v>
      </c>
      <c r="E35">
        <f t="shared" si="1"/>
        <v>0.01</v>
      </c>
      <c r="F35" s="17" t="s">
        <v>72</v>
      </c>
      <c r="H35">
        <v>0.01</v>
      </c>
      <c r="N35">
        <v>200</v>
      </c>
    </row>
    <row r="36" spans="4:14" x14ac:dyDescent="0.45">
      <c r="D36" s="4">
        <v>400</v>
      </c>
      <c r="E36">
        <f t="shared" si="1"/>
        <v>0.01</v>
      </c>
      <c r="F36" s="17" t="s">
        <v>72</v>
      </c>
      <c r="H36">
        <v>0.01</v>
      </c>
      <c r="N36">
        <v>400</v>
      </c>
    </row>
    <row r="37" spans="4:14" x14ac:dyDescent="0.45">
      <c r="D37" s="4">
        <v>0.2</v>
      </c>
      <c r="E37">
        <v>0.1</v>
      </c>
      <c r="F37" s="17">
        <v>5</v>
      </c>
      <c r="H37">
        <v>0.1</v>
      </c>
      <c r="I37">
        <v>0.2</v>
      </c>
    </row>
    <row r="38" spans="4:14" x14ac:dyDescent="0.45">
      <c r="D38" s="4">
        <v>0.4</v>
      </c>
      <c r="E38">
        <f>10^-1</f>
        <v>0.1</v>
      </c>
      <c r="F38" s="17">
        <v>1</v>
      </c>
      <c r="H38">
        <v>0.1</v>
      </c>
      <c r="J38">
        <v>0.4</v>
      </c>
    </row>
    <row r="39" spans="4:14" x14ac:dyDescent="0.45">
      <c r="D39" s="4">
        <v>0.6</v>
      </c>
      <c r="E39">
        <f t="shared" ref="E39:E53" si="2">10^-1</f>
        <v>0.1</v>
      </c>
      <c r="F39" s="17">
        <v>1</v>
      </c>
      <c r="H39">
        <v>0.1</v>
      </c>
      <c r="J39">
        <v>0.6</v>
      </c>
    </row>
    <row r="40" spans="4:14" x14ac:dyDescent="0.45">
      <c r="D40" s="4">
        <v>0.8</v>
      </c>
      <c r="E40">
        <f t="shared" si="2"/>
        <v>0.1</v>
      </c>
      <c r="F40" s="17">
        <v>2</v>
      </c>
      <c r="H40">
        <v>0.1</v>
      </c>
      <c r="K40">
        <v>0.8</v>
      </c>
    </row>
    <row r="41" spans="4:14" x14ac:dyDescent="0.45">
      <c r="D41" s="4">
        <v>1</v>
      </c>
      <c r="E41">
        <f t="shared" si="2"/>
        <v>0.1</v>
      </c>
      <c r="F41" s="17">
        <v>2</v>
      </c>
      <c r="H41">
        <v>0.1</v>
      </c>
      <c r="K41">
        <v>1</v>
      </c>
    </row>
    <row r="42" spans="4:14" x14ac:dyDescent="0.45">
      <c r="D42" s="4">
        <v>2</v>
      </c>
      <c r="E42">
        <f t="shared" si="2"/>
        <v>0.1</v>
      </c>
      <c r="F42" s="17" t="s">
        <v>75</v>
      </c>
      <c r="H42">
        <v>0.1</v>
      </c>
      <c r="L42">
        <v>2</v>
      </c>
    </row>
    <row r="43" spans="4:14" x14ac:dyDescent="0.45">
      <c r="D43" s="4">
        <v>4</v>
      </c>
      <c r="E43">
        <f t="shared" si="2"/>
        <v>0.1</v>
      </c>
      <c r="F43" s="17" t="s">
        <v>71</v>
      </c>
      <c r="H43">
        <v>0.1</v>
      </c>
      <c r="M43">
        <v>4</v>
      </c>
    </row>
    <row r="44" spans="4:14" x14ac:dyDescent="0.45">
      <c r="D44" s="4">
        <v>6</v>
      </c>
      <c r="E44">
        <f t="shared" si="2"/>
        <v>0.1</v>
      </c>
      <c r="F44" s="17" t="s">
        <v>71</v>
      </c>
      <c r="H44">
        <v>0.1</v>
      </c>
      <c r="M44">
        <v>6</v>
      </c>
    </row>
    <row r="45" spans="4:14" x14ac:dyDescent="0.45">
      <c r="D45" s="4">
        <v>8</v>
      </c>
      <c r="E45">
        <f t="shared" si="2"/>
        <v>0.1</v>
      </c>
      <c r="F45" s="17" t="s">
        <v>72</v>
      </c>
      <c r="H45">
        <v>0.1</v>
      </c>
      <c r="N45">
        <v>8</v>
      </c>
    </row>
    <row r="46" spans="4:14" x14ac:dyDescent="0.45">
      <c r="D46" s="4">
        <v>10</v>
      </c>
      <c r="E46">
        <f t="shared" si="2"/>
        <v>0.1</v>
      </c>
      <c r="F46" s="17" t="s">
        <v>72</v>
      </c>
      <c r="H46">
        <v>0.1</v>
      </c>
      <c r="N46">
        <v>10</v>
      </c>
    </row>
    <row r="47" spans="4:14" x14ac:dyDescent="0.45">
      <c r="D47" s="4">
        <v>20</v>
      </c>
      <c r="E47">
        <f t="shared" si="2"/>
        <v>0.1</v>
      </c>
      <c r="F47" s="17" t="s">
        <v>72</v>
      </c>
      <c r="H47">
        <v>0.1</v>
      </c>
      <c r="N47">
        <v>20</v>
      </c>
    </row>
    <row r="48" spans="4:14" x14ac:dyDescent="0.45">
      <c r="D48" s="4">
        <v>40</v>
      </c>
      <c r="E48">
        <f t="shared" si="2"/>
        <v>0.1</v>
      </c>
      <c r="F48" s="17" t="s">
        <v>72</v>
      </c>
      <c r="H48">
        <v>0.1</v>
      </c>
      <c r="N48">
        <v>40</v>
      </c>
    </row>
    <row r="49" spans="4:14" x14ac:dyDescent="0.45">
      <c r="D49" s="4">
        <v>60</v>
      </c>
      <c r="E49">
        <f t="shared" si="2"/>
        <v>0.1</v>
      </c>
      <c r="F49" s="17" t="s">
        <v>72</v>
      </c>
      <c r="H49">
        <v>0.1</v>
      </c>
      <c r="N49">
        <v>60</v>
      </c>
    </row>
    <row r="50" spans="4:14" x14ac:dyDescent="0.45">
      <c r="D50" s="4">
        <v>80</v>
      </c>
      <c r="E50">
        <f t="shared" si="2"/>
        <v>0.1</v>
      </c>
      <c r="F50" s="17" t="s">
        <v>72</v>
      </c>
      <c r="H50">
        <v>0.1</v>
      </c>
      <c r="N50">
        <v>80</v>
      </c>
    </row>
    <row r="51" spans="4:14" x14ac:dyDescent="0.45">
      <c r="D51" s="4">
        <v>100</v>
      </c>
      <c r="E51">
        <f t="shared" si="2"/>
        <v>0.1</v>
      </c>
      <c r="F51" s="17" t="s">
        <v>72</v>
      </c>
      <c r="H51">
        <v>0.1</v>
      </c>
      <c r="N51">
        <v>100</v>
      </c>
    </row>
    <row r="52" spans="4:14" ht="14.25" customHeight="1" x14ac:dyDescent="0.45">
      <c r="D52" s="4">
        <v>200</v>
      </c>
      <c r="E52">
        <f t="shared" si="2"/>
        <v>0.1</v>
      </c>
      <c r="F52" s="17" t="s">
        <v>72</v>
      </c>
      <c r="H52">
        <v>0.1</v>
      </c>
      <c r="N52">
        <v>200</v>
      </c>
    </row>
    <row r="53" spans="4:14" ht="14.25" customHeight="1" x14ac:dyDescent="0.45">
      <c r="D53" s="4">
        <v>400</v>
      </c>
      <c r="E53">
        <f t="shared" si="2"/>
        <v>0.1</v>
      </c>
      <c r="F53" s="17" t="s">
        <v>72</v>
      </c>
      <c r="H53">
        <v>0.1</v>
      </c>
      <c r="N53">
        <v>400</v>
      </c>
    </row>
    <row r="54" spans="4:14" ht="14.25" customHeight="1" x14ac:dyDescent="0.45">
      <c r="D54" s="18"/>
      <c r="E54" s="18"/>
      <c r="F54" s="18"/>
    </row>
    <row r="55" spans="4:14" ht="14.25" customHeight="1" x14ac:dyDescent="0.45">
      <c r="D55" s="18"/>
      <c r="E55" s="18"/>
      <c r="F55" s="18"/>
    </row>
    <row r="56" spans="4:14" ht="14.25" customHeight="1" x14ac:dyDescent="0.45">
      <c r="D56" s="18"/>
      <c r="E56" s="18"/>
      <c r="F56" s="18"/>
    </row>
    <row r="57" spans="4:14" ht="14.25" customHeight="1" x14ac:dyDescent="0.45">
      <c r="D57" s="18"/>
      <c r="E57" s="18"/>
      <c r="F57" s="18"/>
    </row>
    <row r="58" spans="4:14" ht="14.25" customHeight="1" x14ac:dyDescent="0.45">
      <c r="D58" s="18"/>
      <c r="E58" s="18"/>
      <c r="F58" s="18"/>
    </row>
    <row r="59" spans="4:14" ht="14.25" customHeight="1" x14ac:dyDescent="0.45">
      <c r="D59" s="18"/>
      <c r="E59" s="18"/>
      <c r="F59" s="18"/>
    </row>
    <row r="60" spans="4:14" ht="14.25" customHeight="1" x14ac:dyDescent="0.45">
      <c r="D60" s="18"/>
      <c r="E60" s="18"/>
      <c r="F60" s="18"/>
    </row>
    <row r="61" spans="4:14" ht="14.25" customHeight="1" x14ac:dyDescent="0.45">
      <c r="D61" s="18"/>
      <c r="E61" s="18"/>
      <c r="F61" s="18"/>
    </row>
    <row r="62" spans="4:14" ht="14.25" customHeight="1" x14ac:dyDescent="0.45">
      <c r="D62" s="18"/>
      <c r="E62" s="18"/>
      <c r="F62" s="18"/>
    </row>
    <row r="63" spans="4:14" ht="14.25" customHeight="1" x14ac:dyDescent="0.45">
      <c r="D63" s="18"/>
      <c r="E63" s="18"/>
      <c r="F63" s="18"/>
    </row>
    <row r="64" spans="4:14" ht="14.25" customHeight="1" x14ac:dyDescent="0.45">
      <c r="D64" s="18"/>
      <c r="E64" s="18"/>
      <c r="F64" s="18"/>
    </row>
  </sheetData>
  <mergeCells count="1">
    <mergeCell ref="D1:F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We-Oh</vt:lpstr>
      <vt:lpstr>We-Bars 1995</vt:lpstr>
      <vt:lpstr>We-Bars</vt:lpstr>
      <vt:lpstr>Tanner Deformation</vt:lpstr>
      <vt:lpstr>O'Rourke Deformation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Anushka D</dc:creator>
  <cp:keywords/>
  <dc:description/>
  <cp:lastModifiedBy>Dharmasanam, Anushka</cp:lastModifiedBy>
  <cp:revision/>
  <dcterms:created xsi:type="dcterms:W3CDTF">2015-06-05T18:17:20Z</dcterms:created>
  <dcterms:modified xsi:type="dcterms:W3CDTF">2026-07-22T01:06:34Z</dcterms:modified>
  <cp:category/>
  <cp:contentStatus/>
</cp:coreProperties>
</file>