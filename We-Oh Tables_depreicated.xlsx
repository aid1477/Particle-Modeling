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dharmasanam3_gatech_edu/Documents/0 - Research OEF/Particle Modeling/"/>
    </mc:Choice>
  </mc:AlternateContent>
  <xr:revisionPtr revIDLastSave="855" documentId="11_F25DC773A252ABDACC10482B315952005ADE58EA" xr6:coauthVersionLast="47" xr6:coauthVersionMax="47" xr10:uidLastSave="{DEB93959-DEEC-4940-9A1C-3370F3DB9EF0}"/>
  <bookViews>
    <workbookView xWindow="-98" yWindow="-98" windowWidth="23236" windowHeight="13875" xr2:uid="{00000000-000D-0000-FFFF-FFFF00000000}"/>
  </bookViews>
  <sheets>
    <sheet name="We-Oh" sheetId="1" r:id="rId1"/>
    <sheet name="We-Bars" sheetId="2" r:id="rId2"/>
    <sheet name="Tanner Deformation" sheetId="3" r:id="rId3"/>
    <sheet name="O'Rourke Deform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2" i="1"/>
  <c r="T2" i="1"/>
  <c r="P19" i="1"/>
  <c r="Q19" i="1"/>
  <c r="P20" i="1"/>
  <c r="Q20" i="1"/>
  <c r="P2" i="1"/>
  <c r="Q2" i="1"/>
  <c r="P36" i="1"/>
  <c r="Q36" i="1"/>
  <c r="O36" i="1"/>
  <c r="O2" i="1"/>
  <c r="O19" i="1"/>
  <c r="N19" i="1"/>
  <c r="N2" i="1"/>
  <c r="H25" i="2"/>
  <c r="H17" i="2"/>
  <c r="C20" i="2"/>
  <c r="C18" i="2"/>
  <c r="G17" i="2"/>
  <c r="F17" i="2"/>
  <c r="E17" i="2"/>
  <c r="D17" i="2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C10" i="1" l="1"/>
  <c r="C9" i="1"/>
  <c r="N38" i="1"/>
  <c r="O38" i="1" s="1"/>
  <c r="N39" i="1"/>
  <c r="O39" i="1" s="1"/>
  <c r="N40" i="1"/>
  <c r="O40" i="1" s="1"/>
  <c r="N41" i="1"/>
  <c r="P41" i="1" s="1"/>
  <c r="Q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37" i="1"/>
  <c r="O37" i="1" s="1"/>
  <c r="N21" i="1"/>
  <c r="N22" i="1"/>
  <c r="N23" i="1"/>
  <c r="N24" i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20" i="1"/>
  <c r="O20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3" i="1"/>
  <c r="P37" i="1"/>
  <c r="Q37" i="1" s="1"/>
  <c r="P40" i="1" l="1"/>
  <c r="Q40" i="1" s="1"/>
  <c r="P4" i="1"/>
  <c r="T4" i="1" s="1"/>
  <c r="P5" i="1"/>
  <c r="T5" i="1" s="1"/>
  <c r="P21" i="1"/>
  <c r="O21" i="1"/>
  <c r="P22" i="1"/>
  <c r="Q22" i="1" s="1"/>
  <c r="O22" i="1"/>
  <c r="P23" i="1"/>
  <c r="Q23" i="1" s="1"/>
  <c r="O23" i="1"/>
  <c r="P24" i="1"/>
  <c r="Q24" i="1" s="1"/>
  <c r="O24" i="1"/>
  <c r="O3" i="1"/>
  <c r="Q3" i="1"/>
  <c r="S3" i="1" s="1"/>
  <c r="P38" i="1"/>
  <c r="P39" i="1"/>
  <c r="Q39" i="1" s="1"/>
  <c r="P25" i="1"/>
  <c r="Q25" i="1" s="1"/>
  <c r="P26" i="1"/>
  <c r="Q26" i="1" s="1"/>
  <c r="P45" i="1"/>
  <c r="Q45" i="1" s="1"/>
  <c r="S45" i="1" s="1"/>
  <c r="P12" i="1"/>
  <c r="Q12" i="1" s="1"/>
  <c r="P46" i="1"/>
  <c r="Q46" i="1" s="1"/>
  <c r="S46" i="1" s="1"/>
  <c r="P13" i="1"/>
  <c r="Q13" i="1" s="1"/>
  <c r="P47" i="1"/>
  <c r="T47" i="1" s="1"/>
  <c r="P14" i="1"/>
  <c r="Q14" i="1" s="1"/>
  <c r="P15" i="1"/>
  <c r="Q15" i="1" s="1"/>
  <c r="P9" i="1"/>
  <c r="Q9" i="1" s="1"/>
  <c r="P16" i="1"/>
  <c r="Q16" i="1" s="1"/>
  <c r="P8" i="1"/>
  <c r="P17" i="1"/>
  <c r="Q17" i="1" s="1"/>
  <c r="P34" i="1"/>
  <c r="Q34" i="1" s="1"/>
  <c r="P51" i="1"/>
  <c r="Q51" i="1" s="1"/>
  <c r="S51" i="1" s="1"/>
  <c r="O41" i="1"/>
  <c r="P42" i="1"/>
  <c r="Q42" i="1" s="1"/>
  <c r="P44" i="1"/>
  <c r="Q44" i="1" s="1"/>
  <c r="S44" i="1" s="1"/>
  <c r="P28" i="1"/>
  <c r="Q28" i="1" s="1"/>
  <c r="T3" i="1"/>
  <c r="P11" i="1"/>
  <c r="Q11" i="1" s="1"/>
  <c r="P48" i="1"/>
  <c r="Q48" i="1" s="1"/>
  <c r="S48" i="1" s="1"/>
  <c r="P10" i="1"/>
  <c r="Q10" i="1" s="1"/>
  <c r="P33" i="1"/>
  <c r="Q33" i="1" s="1"/>
  <c r="P7" i="1"/>
  <c r="P18" i="1"/>
  <c r="Q18" i="1" s="1"/>
  <c r="P35" i="1"/>
  <c r="Q35" i="1" s="1"/>
  <c r="P52" i="1"/>
  <c r="Q52" i="1" s="1"/>
  <c r="S52" i="1" s="1"/>
  <c r="P43" i="1"/>
  <c r="Q43" i="1" s="1"/>
  <c r="S43" i="1" s="1"/>
  <c r="P27" i="1"/>
  <c r="Q27" i="1" s="1"/>
  <c r="P29" i="1"/>
  <c r="Q29" i="1" s="1"/>
  <c r="P30" i="1"/>
  <c r="Q30" i="1" s="1"/>
  <c r="P31" i="1"/>
  <c r="P32" i="1"/>
  <c r="Q32" i="1" s="1"/>
  <c r="P49" i="1"/>
  <c r="Q49" i="1" s="1"/>
  <c r="S49" i="1" s="1"/>
  <c r="P50" i="1"/>
  <c r="Q50" i="1" s="1"/>
  <c r="S50" i="1" s="1"/>
  <c r="P6" i="1"/>
  <c r="Q38" i="1"/>
  <c r="Q21" i="1"/>
  <c r="Q31" i="1"/>
  <c r="T49" i="1"/>
  <c r="T46" i="1"/>
  <c r="Q5" i="1"/>
  <c r="S5" i="1" s="1"/>
  <c r="Q4" i="1"/>
  <c r="S4" i="1" s="1"/>
  <c r="T44" i="1" l="1"/>
  <c r="Q7" i="1"/>
  <c r="Q47" i="1"/>
  <c r="S47" i="1" s="1"/>
  <c r="Q6" i="1"/>
  <c r="T50" i="1"/>
  <c r="T51" i="1"/>
  <c r="T43" i="1"/>
  <c r="T52" i="1"/>
  <c r="Q8" i="1"/>
  <c r="T48" i="1"/>
  <c r="T45" i="1"/>
</calcChain>
</file>

<file path=xl/sharedStrings.xml><?xml version="1.0" encoding="utf-8"?>
<sst xmlns="http://schemas.openxmlformats.org/spreadsheetml/2006/main" count="284" uniqueCount="76">
  <si>
    <t>Constants</t>
  </si>
  <si>
    <t>We</t>
  </si>
  <si>
    <t>Oh</t>
  </si>
  <si>
    <t>Re</t>
  </si>
  <si>
    <t>Target Radius</t>
  </si>
  <si>
    <t>Target Vel</t>
  </si>
  <si>
    <t>We Ck</t>
  </si>
  <si>
    <t>Oh Ck</t>
  </si>
  <si>
    <t>O'Rourke</t>
  </si>
  <si>
    <t xml:space="preserve">Tanner </t>
  </si>
  <si>
    <t>Constant Name</t>
  </si>
  <si>
    <t>Var in Code</t>
  </si>
  <si>
    <t>Value</t>
  </si>
  <si>
    <t>Units</t>
  </si>
  <si>
    <t>Notes</t>
  </si>
  <si>
    <t>gas density</t>
  </si>
  <si>
    <t>rho_g</t>
  </si>
  <si>
    <t>kg/m^3</t>
  </si>
  <si>
    <t>air</t>
  </si>
  <si>
    <t>liquid density</t>
  </si>
  <si>
    <t>rho_l</t>
  </si>
  <si>
    <t>water</t>
  </si>
  <si>
    <t>parent radius</t>
  </si>
  <si>
    <t>parent_r</t>
  </si>
  <si>
    <t>m</t>
  </si>
  <si>
    <t>will change</t>
  </si>
  <si>
    <t>surface tension</t>
  </si>
  <si>
    <t>sigma</t>
  </si>
  <si>
    <t>kg/s^2 (N/m)</t>
  </si>
  <si>
    <t>drop velocity</t>
  </si>
  <si>
    <t>u</t>
  </si>
  <si>
    <t>m/s</t>
  </si>
  <si>
    <t>liquid dynamic viscocity</t>
  </si>
  <si>
    <t>mu_l</t>
  </si>
  <si>
    <t>Pa*s</t>
  </si>
  <si>
    <t>gas dynamic viscocity</t>
  </si>
  <si>
    <t>mu_g</t>
  </si>
  <si>
    <t>Oh = mu_l / ((rho_l*parent_r*sigma)^(1/2)) = sqrt(We)/Re</t>
  </si>
  <si>
    <t>We = rho_g*(u^2)*parent_r/sigma</t>
  </si>
  <si>
    <t>Re = 2*rho_g*parent_r*u/mu_g</t>
  </si>
  <si>
    <t>Oh = 0.001</t>
  </si>
  <si>
    <t>Oh = 0.01</t>
  </si>
  <si>
    <t>Oh = 0.1</t>
  </si>
  <si>
    <t>number below = lower bound</t>
  </si>
  <si>
    <t>Zone</t>
  </si>
  <si>
    <t>Faeth</t>
  </si>
  <si>
    <t>Tanner</t>
  </si>
  <si>
    <t>No Deformation</t>
  </si>
  <si>
    <t>x</t>
  </si>
  <si>
    <t>NonOsc Deformation</t>
  </si>
  <si>
    <t>Oscillatory Deformation</t>
  </si>
  <si>
    <t>Bag Breakup</t>
  </si>
  <si>
    <t>Multimode Breakup</t>
  </si>
  <si>
    <t>Shear Breakup</t>
  </si>
  <si>
    <t>Model</t>
  </si>
  <si>
    <t>No Def.</t>
  </si>
  <si>
    <t>NonOsc Def.</t>
  </si>
  <si>
    <t>Osc. Def.</t>
  </si>
  <si>
    <t>Multimode/Stripping</t>
  </si>
  <si>
    <t>Shear/Catastrophic</t>
  </si>
  <si>
    <t>Label</t>
  </si>
  <si>
    <t>Behaviour</t>
  </si>
  <si>
    <t>Tanner, 2003</t>
  </si>
  <si>
    <t>A</t>
  </si>
  <si>
    <t xml:space="preserve">No Deformation </t>
  </si>
  <si>
    <t>Nonosc. Deformation</t>
  </si>
  <si>
    <t>Stripping Breakup</t>
  </si>
  <si>
    <t>Catastrophic Breakup</t>
  </si>
  <si>
    <t>B</t>
  </si>
  <si>
    <t>C</t>
  </si>
  <si>
    <t>D</t>
  </si>
  <si>
    <t>E</t>
  </si>
  <si>
    <t>F</t>
  </si>
  <si>
    <t>Breakup</t>
  </si>
  <si>
    <t xml:space="preserve"> </t>
  </si>
  <si>
    <t>no deformation = less than 10% deformation by the 0.1s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</si>
</sst>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165" fontId="0" fillId="2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3" borderId="0" xfId="0" applyNumberFormat="1" applyFill="1"/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0" borderId="1" xfId="0" applyBorder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/>
    <xf numFmtId="0" fontId="1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'We-Bars'!$C$16</c:f>
              <c:strCache>
                <c:ptCount val="1"/>
                <c:pt idx="0">
                  <c:v>No Def.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'We-Bars'!$C$17:$C$22</c15:sqref>
                  </c15:fullRef>
                </c:ext>
              </c:extLst>
              <c:f>'We-Bars'!$C$17:$C$19</c:f>
              <c:numCache>
                <c:formatCode>General</c:formatCode>
                <c:ptCount val="3"/>
                <c:pt idx="0">
                  <c:v>1</c:v>
                </c:pt>
                <c:pt idx="1">
                  <c:v>0.3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D-431A-B73F-1235DB25A930}"/>
            </c:ext>
          </c:extLst>
        </c:ser>
        <c:ser>
          <c:idx val="1"/>
          <c:order val="1"/>
          <c:tx>
            <c:strRef>
              <c:f>'We-Bars'!$D$16</c:f>
              <c:strCache>
                <c:ptCount val="1"/>
                <c:pt idx="0">
                  <c:v>NonOsc Def.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'We-Bars'!$D$17:$D$22</c15:sqref>
                  </c15:fullRef>
                </c:ext>
              </c:extLst>
              <c:f>'We-Bars'!$D$17:$D$19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D-431A-B73F-1235DB25A930}"/>
            </c:ext>
          </c:extLst>
        </c:ser>
        <c:ser>
          <c:idx val="2"/>
          <c:order val="2"/>
          <c:tx>
            <c:strRef>
              <c:f>'We-Bars'!$E$16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'We-Bars'!$E$17:$E$22</c15:sqref>
                  </c15:fullRef>
                </c:ext>
              </c:extLst>
              <c:f>'We-Bars'!$E$17:$E$19</c:f>
              <c:numCache>
                <c:formatCode>General</c:formatCode>
                <c:ptCount val="3"/>
                <c:pt idx="0">
                  <c:v>8</c:v>
                </c:pt>
                <c:pt idx="1">
                  <c:v>4.7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D-431A-B73F-1235DB25A930}"/>
            </c:ext>
          </c:extLst>
        </c:ser>
        <c:ser>
          <c:idx val="3"/>
          <c:order val="3"/>
          <c:tx>
            <c:strRef>
              <c:f>'We-Bars'!$F$16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'We-Bars'!$F$17:$F$22</c15:sqref>
                  </c15:fullRef>
                </c:ext>
              </c:extLst>
              <c:f>'We-Bars'!$F$17:$F$19</c:f>
              <c:numCache>
                <c:formatCode>General</c:formatCode>
                <c:ptCount val="3"/>
                <c:pt idx="0">
                  <c:v>24</c:v>
                </c:pt>
                <c:pt idx="1">
                  <c:v>30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D-431A-B73F-1235DB25A930}"/>
            </c:ext>
          </c:extLst>
        </c:ser>
        <c:ser>
          <c:idx val="4"/>
          <c:order val="4"/>
          <c:tx>
            <c:strRef>
              <c:f>'We-Bars'!$G$16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'We-Bars'!$G$17:$G$22</c15:sqref>
                  </c15:fullRef>
                </c:ext>
              </c:extLst>
              <c:f>'We-Bars'!$G$17:$G$19</c:f>
              <c:numCache>
                <c:formatCode>General</c:formatCode>
                <c:ptCount val="3"/>
                <c:pt idx="0">
                  <c:v>45</c:v>
                </c:pt>
                <c:pt idx="1">
                  <c:v>0</c:v>
                </c:pt>
                <c:pt idx="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0D-431A-B73F-1235DB25A930}"/>
            </c:ext>
          </c:extLst>
        </c:ser>
        <c:ser>
          <c:idx val="5"/>
          <c:order val="5"/>
          <c:tx>
            <c:strRef>
              <c:f>'We-Bars'!$H$16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'We-Bars'!$A$17:$B$22</c15:sqref>
                  </c15:fullRef>
                </c:ext>
              </c:extLst>
              <c:f>'We-Bars'!$A$17:$B$19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'We-Bars'!$H$17:$H$22</c15:sqref>
                  </c15:fullRef>
                </c:ext>
              </c:extLst>
              <c:f>'We-Bars'!$H$17:$H$19</c:f>
              <c:numCache>
                <c:formatCode>General</c:formatCode>
                <c:ptCount val="3"/>
                <c:pt idx="0">
                  <c:v>920</c:v>
                </c:pt>
                <c:pt idx="1">
                  <c:v>965</c:v>
                </c:pt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0D-431A-B73F-1235DB25A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0.01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tx>
            <c:strRef>
              <c:f>'We-Bars'!$C$16</c:f>
              <c:strCache>
                <c:ptCount val="1"/>
                <c:pt idx="0">
                  <c:v>No Def.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'We-Bars'!$C$17:$C$22</c:f>
              <c:numCache>
                <c:formatCode>General</c:formatCode>
                <c:ptCount val="6"/>
                <c:pt idx="0">
                  <c:v>1</c:v>
                </c:pt>
                <c:pt idx="1">
                  <c:v>0.3</c:v>
                </c:pt>
                <c:pt idx="2">
                  <c:v>0.1</c:v>
                </c:pt>
                <c:pt idx="3">
                  <c:v>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560-4232-819C-45C80F836F25}"/>
            </c:ext>
          </c:extLst>
        </c:ser>
        <c:ser>
          <c:idx val="7"/>
          <c:order val="1"/>
          <c:tx>
            <c:strRef>
              <c:f>'We-Bars'!$D$16</c:f>
              <c:strCache>
                <c:ptCount val="1"/>
                <c:pt idx="0">
                  <c:v>NonOsc Def.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'We-Bars'!$D$17:$D$22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560-4232-819C-45C80F836F25}"/>
            </c:ext>
          </c:extLst>
        </c:ser>
        <c:ser>
          <c:idx val="8"/>
          <c:order val="2"/>
          <c:tx>
            <c:strRef>
              <c:f>'We-Bars'!$E$16</c:f>
              <c:strCache>
                <c:ptCount val="1"/>
                <c:pt idx="0">
                  <c:v>Osc. Def.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'We-Bars'!$E$17:$E$22</c:f>
              <c:numCache>
                <c:formatCode>General</c:formatCode>
                <c:ptCount val="6"/>
                <c:pt idx="0">
                  <c:v>8</c:v>
                </c:pt>
                <c:pt idx="1">
                  <c:v>4.7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560-4232-819C-45C80F836F25}"/>
            </c:ext>
          </c:extLst>
        </c:ser>
        <c:ser>
          <c:idx val="9"/>
          <c:order val="3"/>
          <c:tx>
            <c:strRef>
              <c:f>'We-Bars'!$F$16</c:f>
              <c:strCache>
                <c:ptCount val="1"/>
                <c:pt idx="0">
                  <c:v>Bag Breakup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'We-Bars'!$F$17:$F$22</c:f>
              <c:numCache>
                <c:formatCode>General</c:formatCode>
                <c:ptCount val="6"/>
                <c:pt idx="0">
                  <c:v>24</c:v>
                </c:pt>
                <c:pt idx="1">
                  <c:v>30</c:v>
                </c:pt>
                <c:pt idx="2">
                  <c:v>63</c:v>
                </c:pt>
                <c:pt idx="3">
                  <c:v>24</c:v>
                </c:pt>
                <c:pt idx="4">
                  <c:v>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560-4232-819C-45C80F836F25}"/>
            </c:ext>
          </c:extLst>
        </c:ser>
        <c:ser>
          <c:idx val="10"/>
          <c:order val="4"/>
          <c:tx>
            <c:strRef>
              <c:f>'We-Bars'!$G$16</c:f>
              <c:strCache>
                <c:ptCount val="1"/>
                <c:pt idx="0">
                  <c:v>Multimode/Stripping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'We-Bars'!$G$17:$G$22</c:f>
              <c:numCache>
                <c:formatCode>General</c:formatCode>
                <c:ptCount val="6"/>
                <c:pt idx="0">
                  <c:v>45</c:v>
                </c:pt>
                <c:pt idx="1">
                  <c:v>0</c:v>
                </c:pt>
                <c:pt idx="2">
                  <c:v>230</c:v>
                </c:pt>
                <c:pt idx="3">
                  <c:v>45</c:v>
                </c:pt>
                <c:pt idx="4">
                  <c:v>0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560-4232-819C-45C80F836F25}"/>
            </c:ext>
          </c:extLst>
        </c:ser>
        <c:ser>
          <c:idx val="11"/>
          <c:order val="5"/>
          <c:tx>
            <c:strRef>
              <c:f>'We-Bars'!$H$16</c:f>
              <c:strCache>
                <c:ptCount val="1"/>
                <c:pt idx="0">
                  <c:v>Shear/Catastrophic</c:v>
                </c:pt>
              </c:strCache>
            </c:strRef>
          </c:tx>
          <c:invertIfNegative val="0"/>
          <c:cat>
            <c:multiLvlStrRef>
              <c:f>'We-Bars'!$A$17:$B$22</c:f>
              <c:multiLvlStrCache>
                <c:ptCount val="6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  <c:pt idx="3">
                    <c:v>Faeth</c:v>
                  </c:pt>
                  <c:pt idx="4">
                    <c:v>O'Rourke</c:v>
                  </c:pt>
                  <c:pt idx="5">
                    <c:v>Tanner</c:v>
                  </c:pt>
                </c:lvl>
                <c:lvl>
                  <c:pt idx="0">
                    <c:v>0.001</c:v>
                  </c:pt>
                  <c:pt idx="1">
                    <c:v>0.001</c:v>
                  </c:pt>
                  <c:pt idx="2">
                    <c:v>0.001</c:v>
                  </c:pt>
                  <c:pt idx="3">
                    <c:v>0.010</c:v>
                  </c:pt>
                  <c:pt idx="4">
                    <c:v>0.010</c:v>
                  </c:pt>
                  <c:pt idx="5">
                    <c:v>0.010</c:v>
                  </c:pt>
                </c:lvl>
              </c:multiLvlStrCache>
            </c:multiLvlStrRef>
          </c:cat>
          <c:val>
            <c:numRef>
              <c:f>'We-Bars'!$H$17:$H$22</c:f>
              <c:numCache>
                <c:formatCode>General</c:formatCode>
                <c:ptCount val="6"/>
                <c:pt idx="0">
                  <c:v>920</c:v>
                </c:pt>
                <c:pt idx="1">
                  <c:v>965</c:v>
                </c:pt>
                <c:pt idx="2">
                  <c:v>700</c:v>
                </c:pt>
                <c:pt idx="3">
                  <c:v>920</c:v>
                </c:pt>
                <c:pt idx="4">
                  <c:v>993</c:v>
                </c:pt>
                <c:pt idx="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560-4232-819C-45C80F836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  <c:extLst>
          <c:ext xmlns:c15="http://schemas.microsoft.com/office/drawing/2012/chart" uri="{02D57815-91ED-43cb-92C2-25804820EDAC}">
            <c15:filteredBarSeries>
              <c15:ser>
                <c:idx val="0"/>
                <c:order val="6"/>
                <c:tx>
                  <c:strRef>
                    <c:extLst>
                      <c:ext uri="{02D57815-91ED-43cb-92C2-25804820EDAC}">
                        <c15:formulaRef>
                          <c15:sqref>'We-Bars'!$C$16</c15:sqref>
                        </c15:formulaRef>
                      </c:ext>
                    </c:extLst>
                    <c:strCache>
                      <c:ptCount val="1"/>
                      <c:pt idx="0">
                        <c:v>No Def.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'We-Bars'!$C$20:$C$22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0.1</c:v>
                      </c:pt>
                      <c:pt idx="2">
                        <c:v>0.1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560-4232-819C-45C80F836F25}"/>
                  </c:ext>
                </c:extLst>
              </c15:ser>
            </c15:filteredBarSeries>
            <c15:filteredB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'We-Bars'!$D$16</c15:sqref>
                        </c15:formulaRef>
                      </c:ext>
                    </c:extLst>
                    <c:strCache>
                      <c:ptCount val="1"/>
                      <c:pt idx="0">
                        <c:v>NonOsc Def.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'We-Bars'!$D$20:$D$22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560-4232-819C-45C80F836F25}"/>
                  </c:ext>
                </c:extLst>
              </c15:ser>
            </c15:filteredBarSeries>
            <c15:filteredBarSeries>
              <c15:ser>
                <c:idx val="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'We-Bars'!$E$16</c15:sqref>
                        </c15:formulaRef>
                      </c:ext>
                    </c:extLst>
                    <c:strCache>
                      <c:ptCount val="1"/>
                      <c:pt idx="0">
                        <c:v>Osc. Def.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'We-Bars'!$E$20:$E$22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560-4232-819C-45C80F836F25}"/>
                  </c:ext>
                </c:extLst>
              </c15:ser>
            </c15:filteredBarSeries>
            <c15:filteredBarSeries>
              <c15:ser>
                <c:idx val="3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'We-Bars'!$F$16</c15:sqref>
                        </c15:formulaRef>
                      </c:ext>
                    </c:extLst>
                    <c:strCache>
                      <c:ptCount val="1"/>
                      <c:pt idx="0">
                        <c:v>Bag Breakup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'We-Bars'!$F$20:$F$22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24</c:v>
                      </c:pt>
                      <c:pt idx="1">
                        <c:v>0</c:v>
                      </c:pt>
                      <c:pt idx="2">
                        <c:v>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560-4232-819C-45C80F836F25}"/>
                  </c:ext>
                </c:extLst>
              </c15:ser>
            </c15:filteredBarSeries>
            <c15:filteredBarSeries>
              <c15:ser>
                <c:idx val="4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'We-Bars'!$G$16</c15:sqref>
                        </c15:formulaRef>
                      </c:ext>
                    </c:extLst>
                    <c:strCache>
                      <c:ptCount val="1"/>
                      <c:pt idx="0">
                        <c:v>Multimode/Stripping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'We-Bars'!$G$20:$G$22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45</c:v>
                      </c:pt>
                      <c:pt idx="1">
                        <c:v>0</c:v>
                      </c:pt>
                      <c:pt idx="2">
                        <c:v>210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560-4232-819C-45C80F836F25}"/>
                  </c:ext>
                </c:extLst>
              </c15:ser>
            </c15:filteredBarSeries>
            <c15:filteredBarSeries>
              <c15:ser>
                <c:idx val="5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'We-Bars'!$H$16</c15:sqref>
                        </c15:formulaRef>
                      </c:ext>
                    </c:extLst>
                    <c:strCache>
                      <c:ptCount val="1"/>
                      <c:pt idx="0">
                        <c:v>Shear/Catastrophic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'We-Bars'!$A$20:$B$22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Faeth</c:v>
                        </c:pt>
                        <c:pt idx="1">
                          <c:v>O'Rourke</c:v>
                        </c:pt>
                        <c:pt idx="2">
                          <c:v>Tanner</c:v>
                        </c:pt>
                      </c:lvl>
                      <c:lvl>
                        <c:pt idx="0">
                          <c:v>0.010</c:v>
                        </c:pt>
                        <c:pt idx="1">
                          <c:v>0.010</c:v>
                        </c:pt>
                        <c:pt idx="2">
                          <c:v>0.010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'We-Bars'!$H$20:$H$22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920</c:v>
                      </c:pt>
                      <c:pt idx="1">
                        <c:v>993</c:v>
                      </c:pt>
                      <c:pt idx="2">
                        <c:v>700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560-4232-819C-45C80F836F25}"/>
                  </c:ext>
                </c:extLst>
              </c15:ser>
            </c15:filteredBarSeries>
          </c:ext>
        </c:extLst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Oh = 0.1</a:t>
            </a:r>
            <a:r>
              <a:rPr lang="en-US" baseline="0"/>
              <a:t> Deformation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'We-Bars'!$C$16</c:f>
              <c:strCache>
                <c:ptCount val="1"/>
                <c:pt idx="0">
                  <c:v>No Def.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'We-Bars'!$C$17:$C$25</c15:sqref>
                  </c15:fullRef>
                </c:ext>
              </c:extLst>
              <c:f>'We-Bars'!$C$23:$C$25</c:f>
              <c:numCache>
                <c:formatCode>General</c:formatCode>
                <c:ptCount val="3"/>
                <c:pt idx="0">
                  <c:v>1</c:v>
                </c:pt>
                <c:pt idx="1">
                  <c:v>0.9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8-47B3-AD9F-7AB61FDDECD1}"/>
            </c:ext>
          </c:extLst>
        </c:ser>
        <c:ser>
          <c:idx val="1"/>
          <c:order val="1"/>
          <c:tx>
            <c:strRef>
              <c:f>'We-Bars'!$D$16</c:f>
              <c:strCache>
                <c:ptCount val="1"/>
                <c:pt idx="0">
                  <c:v>NonOsc Def.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'We-Bars'!$D$17:$D$25</c15:sqref>
                  </c15:fullRef>
                </c:ext>
              </c:extLst>
              <c:f>'We-Bars'!$D$23:$D$25</c:f>
              <c:numCache>
                <c:formatCode>General</c:formatCode>
                <c:ptCount val="3"/>
                <c:pt idx="0">
                  <c:v>5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58-47B3-AD9F-7AB61FDDECD1}"/>
            </c:ext>
          </c:extLst>
        </c:ser>
        <c:ser>
          <c:idx val="2"/>
          <c:order val="2"/>
          <c:tx>
            <c:strRef>
              <c:f>'We-Bars'!$E$16</c:f>
              <c:strCache>
                <c:ptCount val="1"/>
                <c:pt idx="0">
                  <c:v>Osc. Def.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'We-Bars'!$E$17:$E$25</c15:sqref>
                  </c15:fullRef>
                </c:ext>
              </c:extLst>
              <c:f>'We-Bars'!$E$23:$E$25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58-47B3-AD9F-7AB61FDDECD1}"/>
            </c:ext>
          </c:extLst>
        </c:ser>
        <c:ser>
          <c:idx val="3"/>
          <c:order val="3"/>
          <c:tx>
            <c:strRef>
              <c:f>'We-Bars'!$F$16</c:f>
              <c:strCache>
                <c:ptCount val="1"/>
                <c:pt idx="0">
                  <c:v>Bag Breakup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'We-Bars'!$F$17:$F$25</c15:sqref>
                  </c15:fullRef>
                </c:ext>
              </c:extLst>
              <c:f>'We-Bars'!$F$23:$F$25</c:f>
              <c:numCache>
                <c:formatCode>General</c:formatCode>
                <c:ptCount val="3"/>
                <c:pt idx="0">
                  <c:v>26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58-47B3-AD9F-7AB61FDDECD1}"/>
            </c:ext>
          </c:extLst>
        </c:ser>
        <c:ser>
          <c:idx val="4"/>
          <c:order val="4"/>
          <c:tx>
            <c:strRef>
              <c:f>'We-Bars'!$G$16</c:f>
              <c:strCache>
                <c:ptCount val="1"/>
                <c:pt idx="0">
                  <c:v>Multimode/Stripping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'We-Bars'!$G$17:$G$25</c15:sqref>
                  </c15:fullRef>
                </c:ext>
              </c:extLst>
              <c:f>'We-Bars'!$G$23:$G$25</c:f>
              <c:numCache>
                <c:formatCode>General</c:formatCode>
                <c:ptCount val="3"/>
                <c:pt idx="0">
                  <c:v>43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58-47B3-AD9F-7AB61FDDECD1}"/>
            </c:ext>
          </c:extLst>
        </c:ser>
        <c:ser>
          <c:idx val="5"/>
          <c:order val="5"/>
          <c:tx>
            <c:strRef>
              <c:f>'We-Bars'!$H$16</c:f>
              <c:strCache>
                <c:ptCount val="1"/>
                <c:pt idx="0">
                  <c:v>Shear/Catastrophic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'We-Bars'!$A$17:$B$25</c15:sqref>
                  </c15:fullRef>
                </c:ext>
              </c:extLst>
              <c:f>'We-Bars'!$A$23:$B$25</c:f>
              <c:multiLvlStrCache>
                <c:ptCount val="3"/>
                <c:lvl>
                  <c:pt idx="0">
                    <c:v>Faeth</c:v>
                  </c:pt>
                  <c:pt idx="1">
                    <c:v>O'Rourke</c:v>
                  </c:pt>
                  <c:pt idx="2">
                    <c:v>Tanner</c:v>
                  </c:pt>
                </c:lvl>
                <c:lvl>
                  <c:pt idx="0">
                    <c:v>0.010</c:v>
                  </c:pt>
                  <c:pt idx="1">
                    <c:v>0.010</c:v>
                  </c:pt>
                  <c:pt idx="2">
                    <c:v>0.010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'We-Bars'!$H$17:$H$25</c15:sqref>
                  </c15:fullRef>
                </c:ext>
              </c:extLst>
              <c:f>'We-Bars'!$H$23:$H$25</c:f>
              <c:numCache>
                <c:formatCode>General</c:formatCode>
                <c:ptCount val="3"/>
                <c:pt idx="0">
                  <c:v>920</c:v>
                </c:pt>
                <c:pt idx="1">
                  <c:v>994.9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58-47B3-AD9F-7AB61FDD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56000"/>
        <c:axId val="38650720"/>
      </c:barChart>
      <c:catAx>
        <c:axId val="3865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20"/>
        <c:crosses val="autoZero"/>
        <c:auto val="1"/>
        <c:lblAlgn val="ctr"/>
        <c:lblOffset val="100"/>
        <c:noMultiLvlLbl val="0"/>
      </c:catAx>
      <c:valAx>
        <c:axId val="3865072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Tanner,</a:t>
            </a:r>
            <a:r>
              <a:rPr lang="en-US" baseline="0"/>
              <a:t> 2003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'Tanner Deformation'!$I$2</c:f>
              <c:strCache>
                <c:ptCount val="1"/>
                <c:pt idx="0">
                  <c:v>No Deformation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Deformation'!$I$3:$I$44</c:f>
              <c:numCache>
                <c:formatCode>General</c:formatCode>
                <c:ptCount val="42"/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5-4FB0-A88D-6230E643A470}"/>
            </c:ext>
          </c:extLst>
        </c:ser>
        <c:ser>
          <c:idx val="1"/>
          <c:order val="1"/>
          <c:tx>
            <c:strRef>
              <c:f>'Tanner Deformation'!$J$2</c:f>
              <c:strCache>
                <c:ptCount val="1"/>
                <c:pt idx="0">
                  <c:v>Nonosc.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Deformation'!$J$3:$J$44</c:f>
              <c:numCache>
                <c:formatCode>General</c:formatCode>
                <c:ptCount val="42"/>
                <c:pt idx="36">
                  <c:v>2</c:v>
                </c:pt>
                <c:pt idx="37">
                  <c:v>4</c:v>
                </c:pt>
                <c:pt idx="38">
                  <c:v>6</c:v>
                </c:pt>
                <c:pt idx="39">
                  <c:v>8</c:v>
                </c:pt>
                <c:pt idx="4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5-4FB0-A88D-6230E643A470}"/>
            </c:ext>
          </c:extLst>
        </c:ser>
        <c:ser>
          <c:idx val="2"/>
          <c:order val="2"/>
          <c:tx>
            <c:strRef>
              <c:f>'Tanner Deformation'!$K$2</c:f>
              <c:strCache>
                <c:ptCount val="1"/>
                <c:pt idx="0">
                  <c:v>Oscillatory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Deformation'!$K$3:$K$44</c:f>
              <c:numCache>
                <c:formatCode>General</c:formatCode>
                <c:ptCount val="42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05-4FB0-A88D-6230E643A470}"/>
            </c:ext>
          </c:extLst>
        </c:ser>
        <c:ser>
          <c:idx val="3"/>
          <c:order val="3"/>
          <c:tx>
            <c:strRef>
              <c:f>'Tanner Deformation'!$L$2</c:f>
              <c:strCache>
                <c:ptCount val="1"/>
                <c:pt idx="0">
                  <c:v>Bag Breakup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Deformation'!$L$3:$L$44</c:f>
              <c:numCache>
                <c:formatCode>General</c:formatCode>
                <c:ptCount val="42"/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23">
                  <c:v>8</c:v>
                </c:pt>
                <c:pt idx="24">
                  <c:v>10</c:v>
                </c:pt>
                <c:pt idx="25">
                  <c:v>20</c:v>
                </c:pt>
                <c:pt idx="26">
                  <c:v>40</c:v>
                </c:pt>
                <c:pt idx="27">
                  <c:v>60</c:v>
                </c:pt>
                <c:pt idx="28">
                  <c:v>80</c:v>
                </c:pt>
                <c:pt idx="4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05-4FB0-A88D-6230E643A470}"/>
            </c:ext>
          </c:extLst>
        </c:ser>
        <c:ser>
          <c:idx val="4"/>
          <c:order val="4"/>
          <c:tx>
            <c:strRef>
              <c:f>'Tanner Deformation'!$M$2</c:f>
              <c:strCache>
                <c:ptCount val="1"/>
                <c:pt idx="0">
                  <c:v>Stripping Breakup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Deformation'!$M$3:$M$44</c:f>
              <c:numCache>
                <c:formatCode>General</c:formatCode>
                <c:ptCount val="42"/>
                <c:pt idx="12">
                  <c:v>80</c:v>
                </c:pt>
                <c:pt idx="13">
                  <c:v>100</c:v>
                </c:pt>
                <c:pt idx="14">
                  <c:v>200</c:v>
                </c:pt>
                <c:pt idx="29">
                  <c:v>100</c:v>
                </c:pt>
                <c:pt idx="3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05-4FB0-A88D-6230E643A470}"/>
            </c:ext>
          </c:extLst>
        </c:ser>
        <c:ser>
          <c:idx val="5"/>
          <c:order val="5"/>
          <c:tx>
            <c:strRef>
              <c:f>'Tanner Deformation'!$N$2</c:f>
              <c:strCache>
                <c:ptCount val="1"/>
                <c:pt idx="0">
                  <c:v>Catastrophic Breakup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'Tanner Deformation'!$H$3:$H$44</c:f>
              <c:numCache>
                <c:formatCode>General</c:formatCode>
                <c:ptCount val="42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</c:numCache>
            </c:numRef>
          </c:xVal>
          <c:yVal>
            <c:numRef>
              <c:f>'Tanner Deformation'!$N$3:$N$44</c:f>
              <c:numCache>
                <c:formatCode>General</c:formatCode>
                <c:ptCount val="42"/>
                <c:pt idx="15">
                  <c:v>400</c:v>
                </c:pt>
                <c:pt idx="31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0005-4FB0-A88D-6230E643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1264"/>
        <c:axId val="38301744"/>
      </c:scatterChart>
      <c:valAx>
        <c:axId val="383012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744"/>
        <c:crosses val="autoZero"/>
        <c:crossBetween val="midCat"/>
      </c:valAx>
      <c:valAx>
        <c:axId val="383017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O'Rourke,</a:t>
            </a:r>
            <a:r>
              <a:rPr lang="en-US" baseline="0"/>
              <a:t> 1987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'O''Rourke Deformation'!$I$2</c:f>
              <c:strCache>
                <c:ptCount val="1"/>
                <c:pt idx="0">
                  <c:v>No Deformation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'O''Rourke Deformation'!$H$3:$H$50</c:f>
              <c:numCache>
                <c:formatCode>General</c:formatCode>
                <c:ptCount val="4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xVal>
          <c:yVal>
            <c:numRef>
              <c:f>'O''Rourke Deformation'!$I$3:$I$50</c:f>
              <c:numCache>
                <c:formatCode>General</c:formatCode>
                <c:ptCount val="48"/>
                <c:pt idx="0">
                  <c:v>0.4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A4-4139-A1A5-F1E110F64B8C}"/>
            </c:ext>
          </c:extLst>
        </c:ser>
        <c:ser>
          <c:idx val="1"/>
          <c:order val="1"/>
          <c:tx>
            <c:strRef>
              <c:f>'O''Rourke Deformation'!$J$2</c:f>
              <c:strCache>
                <c:ptCount val="1"/>
                <c:pt idx="0">
                  <c:v>Nonosc.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'O''Rourke Deformation'!$H$3:$H$50</c:f>
              <c:numCache>
                <c:formatCode>General</c:formatCode>
                <c:ptCount val="4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xVal>
          <c:yVal>
            <c:numRef>
              <c:f>'O''Rourke Deformation'!$J$3:$J$50</c:f>
              <c:numCache>
                <c:formatCode>General</c:formatCode>
                <c:ptCount val="48"/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2</c:v>
                </c:pt>
                <c:pt idx="36">
                  <c:v>2</c:v>
                </c:pt>
                <c:pt idx="3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A4-4139-A1A5-F1E110F64B8C}"/>
            </c:ext>
          </c:extLst>
        </c:ser>
        <c:ser>
          <c:idx val="2"/>
          <c:order val="2"/>
          <c:tx>
            <c:strRef>
              <c:f>'O''Rourke Deformation'!$K$2</c:f>
              <c:strCache>
                <c:ptCount val="1"/>
                <c:pt idx="0">
                  <c:v>Oscillatory Deformation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'O''Rourke Deformation'!$H$3:$H$50</c:f>
              <c:numCache>
                <c:formatCode>General</c:formatCode>
                <c:ptCount val="4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xVal>
          <c:yVal>
            <c:numRef>
              <c:f>'O''Rourke Deformation'!$K$3:$K$50</c:f>
              <c:numCache>
                <c:formatCode>General</c:formatCode>
                <c:ptCount val="48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A4-4139-A1A5-F1E110F64B8C}"/>
            </c:ext>
          </c:extLst>
        </c:ser>
        <c:ser>
          <c:idx val="3"/>
          <c:order val="3"/>
          <c:tx>
            <c:strRef>
              <c:f>'O''Rourke Deformation'!$L$2</c:f>
              <c:strCache>
                <c:ptCount val="1"/>
                <c:pt idx="0">
                  <c:v>Breakup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'O''Rourke Deformation'!$H$3:$H$50</c:f>
              <c:numCache>
                <c:formatCode>General</c:formatCode>
                <c:ptCount val="4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</c:numCache>
            </c:numRef>
          </c:xVal>
          <c:yVal>
            <c:numRef>
              <c:f>'O''Rourke Deformation'!$L$3:$L$50</c:f>
              <c:numCache>
                <c:formatCode>General</c:formatCode>
                <c:ptCount val="48"/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80</c:v>
                </c:pt>
                <c:pt idx="13">
                  <c:v>100</c:v>
                </c:pt>
                <c:pt idx="14">
                  <c:v>200</c:v>
                </c:pt>
                <c:pt idx="15">
                  <c:v>400</c:v>
                </c:pt>
                <c:pt idx="23">
                  <c:v>8</c:v>
                </c:pt>
                <c:pt idx="24">
                  <c:v>10</c:v>
                </c:pt>
                <c:pt idx="25">
                  <c:v>20</c:v>
                </c:pt>
                <c:pt idx="26">
                  <c:v>40</c:v>
                </c:pt>
                <c:pt idx="27">
                  <c:v>60</c:v>
                </c:pt>
                <c:pt idx="28">
                  <c:v>80</c:v>
                </c:pt>
                <c:pt idx="29">
                  <c:v>100</c:v>
                </c:pt>
                <c:pt idx="30">
                  <c:v>200</c:v>
                </c:pt>
                <c:pt idx="31">
                  <c:v>400</c:v>
                </c:pt>
                <c:pt idx="38">
                  <c:v>6</c:v>
                </c:pt>
                <c:pt idx="39">
                  <c:v>8</c:v>
                </c:pt>
                <c:pt idx="40">
                  <c:v>10</c:v>
                </c:pt>
                <c:pt idx="41">
                  <c:v>20</c:v>
                </c:pt>
                <c:pt idx="42">
                  <c:v>40</c:v>
                </c:pt>
                <c:pt idx="43">
                  <c:v>60</c:v>
                </c:pt>
                <c:pt idx="44">
                  <c:v>80</c:v>
                </c:pt>
                <c:pt idx="45">
                  <c:v>100</c:v>
                </c:pt>
                <c:pt idx="46">
                  <c:v>200</c:v>
                </c:pt>
                <c:pt idx="47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A4-4139-A1A5-F1E110F64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1264"/>
        <c:axId val="38301744"/>
      </c:scatterChart>
      <c:valAx>
        <c:axId val="383012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744"/>
        <c:crosses val="autoZero"/>
        <c:crossBetween val="midCat"/>
      </c:valAx>
      <c:valAx>
        <c:axId val="383017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0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186300</xdr:colOff>
      <xdr:row>2</xdr:row>
      <xdr:rowOff>138112</xdr:rowOff>
    </xdr:from>
    <xdr:to>
      <xdr:col>12</xdr:col>
      <xdr:colOff>4762</xdr:colOff>
      <xdr:row>21</xdr:row>
      <xdr:rowOff>168423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0BE5D-DF08-B21E-67D8-015D9616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4113" y="366712"/>
          <a:ext cx="4323787" cy="3468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133349</xdr:colOff>
      <xdr:row>1</xdr:row>
      <xdr:rowOff>57148</xdr:rowOff>
    </xdr:from>
    <xdr:to>
      <xdr:col>17</xdr:col>
      <xdr:colOff>314324</xdr:colOff>
      <xdr:row>18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B5DC-29B0-A907-26A9-AFC875FFF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18</xdr:row>
      <xdr:rowOff>152400</xdr:rowOff>
    </xdr:from>
    <xdr:to>
      <xdr:col>17</xdr:col>
      <xdr:colOff>314325</xdr:colOff>
      <xdr:row>35</xdr:row>
      <xdr:rowOff>161926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3AA98AF9-2052-449D-948E-305C0D864DDF}"/>
            </a:ext>
            <a:ext uri="{147F2762-F138-4A5C-976F-8EAC2B608ADB}">
              <a16:predDERef xmlns:a16="http://schemas.microsoft.com/office/drawing/2014/main" pred="{EE5EB5DC-29B0-A907-26A9-AFC875FFF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36</xdr:row>
      <xdr:rowOff>95250</xdr:rowOff>
    </xdr:from>
    <xdr:to>
      <xdr:col>17</xdr:col>
      <xdr:colOff>304800</xdr:colOff>
      <xdr:row>53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4AD403-57D4-4671-B50F-A72A3B9FF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247649</xdr:colOff>
      <xdr:row>7</xdr:row>
      <xdr:rowOff>28574</xdr:rowOff>
    </xdr:from>
    <xdr:to>
      <xdr:col>24</xdr:col>
      <xdr:colOff>523875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15425-F5CD-E959-05AB-C4385C232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4</xdr:row>
      <xdr:rowOff>47624</xdr:rowOff>
    </xdr:from>
    <xdr:to>
      <xdr:col>22</xdr:col>
      <xdr:colOff>400050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3BCDC-257C-4402-B377-B20099AEC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619125</xdr:colOff>
      <xdr:row>64</xdr:row>
      <xdr:rowOff>66675</xdr:rowOff>
    </xdr:from>
    <xdr:to>
      <xdr:col>5</xdr:col>
      <xdr:colOff>361950</xdr:colOff>
      <xdr:row>73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63496-B152-E29A-FD5A-6316E1EA43C6}"/>
            </a:ext>
            <a:ext uri="{147F2762-F138-4A5C-976F-8EAC2B608ADB}">
              <a16:predDERef xmlns:a16="http://schemas.microsoft.com/office/drawing/2014/main" pred="{1C23BCDC-257C-4402-B377-B20099AEC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5525" y="11658600"/>
          <a:ext cx="2590800" cy="1733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"/>
  <sheetViews>
    <sheetView tabSelected="1" topLeftCell="D1" workbookViewId="0">
      <selection activeCell="P3" sqref="P3"/>
    </sheetView>
  </sheetViews>
  <sheetFormatPr defaultRowHeight="14.25" x14ac:dyDescent="0.45"/>
  <cols>
    <col min="1" max="1" width="20.1328125" customWidth="1"/>
    <col min="2" max="2" width="12.1328125" customWidth="1"/>
    <col min="4" max="4" width="12.265625" customWidth="1"/>
    <col min="5" max="5" width="21.3984375" customWidth="1"/>
    <col min="16" max="16" width="16.265625" customWidth="1"/>
    <col min="17" max="17" width="16.59765625" customWidth="1"/>
    <col min="19" max="19" width="7.59765625" customWidth="1"/>
    <col min="22" max="22" width="14" customWidth="1"/>
    <col min="23" max="23" width="15.1328125" customWidth="1"/>
  </cols>
  <sheetData>
    <row r="1" spans="1:24" ht="18" x14ac:dyDescent="0.55000000000000004">
      <c r="A1" s="20" t="s">
        <v>0</v>
      </c>
      <c r="B1" s="20"/>
      <c r="C1" s="20"/>
      <c r="D1" s="20"/>
      <c r="E1" s="20"/>
      <c r="H1" s="3"/>
      <c r="I1" s="3"/>
      <c r="M1" s="5" t="s">
        <v>1</v>
      </c>
      <c r="N1" s="1" t="s">
        <v>2</v>
      </c>
      <c r="O1" s="1" t="s">
        <v>3</v>
      </c>
      <c r="P1" s="6" t="s">
        <v>4</v>
      </c>
      <c r="Q1" s="6" t="s">
        <v>5</v>
      </c>
      <c r="R1" s="1"/>
      <c r="S1" s="1" t="s">
        <v>6</v>
      </c>
      <c r="T1" s="1" t="s">
        <v>7</v>
      </c>
      <c r="V1" s="1" t="s">
        <v>8</v>
      </c>
      <c r="W1" s="1" t="s">
        <v>9</v>
      </c>
    </row>
    <row r="2" spans="1:24" x14ac:dyDescent="0.45">
      <c r="A2" s="2"/>
      <c r="B2" s="2"/>
      <c r="C2" s="2"/>
      <c r="D2" s="2"/>
      <c r="E2" s="2"/>
      <c r="F2" s="23"/>
      <c r="G2" s="23"/>
      <c r="H2" s="24"/>
      <c r="I2" s="24"/>
      <c r="J2" s="23"/>
      <c r="K2" s="23"/>
      <c r="L2" s="23"/>
      <c r="M2" s="25">
        <v>0.2</v>
      </c>
      <c r="N2">
        <f>10^-3</f>
        <v>1E-3</v>
      </c>
      <c r="O2">
        <f>SQRT(M2)/N2</f>
        <v>447.21359549995793</v>
      </c>
      <c r="P2" s="8">
        <f>($C$9^2)/($C$5*$C$7*(N2^2))</f>
        <v>1.1322611903507133E-2</v>
      </c>
      <c r="Q2" s="7">
        <f>SQRT(M2*$C$7/(P2*$C$4))</f>
        <v>1.0294785738216847</v>
      </c>
      <c r="R2" s="2"/>
      <c r="S2" s="4">
        <f>$C$4*(Q2^2)*P2/$C$7</f>
        <v>0.20000000000000007</v>
      </c>
      <c r="T2">
        <f>$C$9/SQRT($C$5*P2*$C$7)</f>
        <v>9.999999999999998E-4</v>
      </c>
      <c r="U2" s="23"/>
      <c r="V2" s="2"/>
      <c r="W2" s="2"/>
      <c r="X2" s="23"/>
    </row>
    <row r="3" spans="1:24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M3" s="4">
        <v>0.4</v>
      </c>
      <c r="N3">
        <f>10^-3</f>
        <v>1E-3</v>
      </c>
      <c r="O3">
        <f>SQRT(M3)/N3</f>
        <v>632.45553203367592</v>
      </c>
      <c r="P3" s="8">
        <f>($C$9^2)/($C$5*$C$7*(N3^2))</f>
        <v>1.1322611903507133E-2</v>
      </c>
      <c r="Q3" s="7">
        <f>SQRT(M3*$C$7/(P3*$C$4))</f>
        <v>1.455902561271138</v>
      </c>
      <c r="S3" s="4">
        <f>$C$4*(Q3^2)*P3/$C$7</f>
        <v>0.40000000000000013</v>
      </c>
      <c r="T3">
        <f>$C$9/SQRT($C$5*P3*$C$7)</f>
        <v>9.999999999999998E-4</v>
      </c>
    </row>
    <row r="4" spans="1:24" x14ac:dyDescent="0.45">
      <c r="A4" t="s">
        <v>15</v>
      </c>
      <c r="B4" t="s">
        <v>16</v>
      </c>
      <c r="C4">
        <v>1.18</v>
      </c>
      <c r="D4" t="s">
        <v>17</v>
      </c>
      <c r="E4" t="s">
        <v>18</v>
      </c>
      <c r="M4" s="4">
        <v>0.6</v>
      </c>
      <c r="N4">
        <f t="shared" ref="N4:N18" si="0">10^-3</f>
        <v>1E-3</v>
      </c>
      <c r="O4">
        <f t="shared" ref="O4:O52" si="1">SQRT(M4)/N4</f>
        <v>774.59666924148337</v>
      </c>
      <c r="P4" s="8">
        <f t="shared" ref="P4:P52" si="2">($C$9^2)/($C$5*$C$7*(N4^2))</f>
        <v>1.1322611903507133E-2</v>
      </c>
      <c r="Q4" s="7">
        <f t="shared" ref="Q4:Q52" si="3">SQRT(M4*$C$7/(P4*$C$4))</f>
        <v>1.7831091951627047</v>
      </c>
      <c r="S4" s="4">
        <f t="shared" ref="S4:S52" si="4">$C$4*(Q4^2)*P4/$C$7</f>
        <v>0.6</v>
      </c>
      <c r="T4">
        <f t="shared" ref="T4:T52" si="5">$C$9/SQRT($C$5*P4*$C$7)</f>
        <v>9.999999999999998E-4</v>
      </c>
    </row>
    <row r="5" spans="1:24" x14ac:dyDescent="0.45">
      <c r="A5" t="s">
        <v>19</v>
      </c>
      <c r="B5" t="s">
        <v>20</v>
      </c>
      <c r="C5">
        <v>997</v>
      </c>
      <c r="D5" t="s">
        <v>17</v>
      </c>
      <c r="E5" t="s">
        <v>21</v>
      </c>
      <c r="M5" s="4">
        <v>0.8</v>
      </c>
      <c r="N5">
        <f t="shared" si="0"/>
        <v>1E-3</v>
      </c>
      <c r="O5">
        <f t="shared" si="1"/>
        <v>894.42719099991587</v>
      </c>
      <c r="P5" s="8">
        <f t="shared" si="2"/>
        <v>1.1322611903507133E-2</v>
      </c>
      <c r="Q5" s="7">
        <f t="shared" si="3"/>
        <v>2.0589571476433695</v>
      </c>
      <c r="S5" s="4">
        <f t="shared" si="4"/>
        <v>0.80000000000000027</v>
      </c>
      <c r="T5">
        <f t="shared" si="5"/>
        <v>9.999999999999998E-4</v>
      </c>
    </row>
    <row r="6" spans="1:24" x14ac:dyDescent="0.45">
      <c r="A6" t="s">
        <v>22</v>
      </c>
      <c r="B6" t="s">
        <v>23</v>
      </c>
      <c r="C6">
        <v>2.0000000000000001E-4</v>
      </c>
      <c r="D6" t="s">
        <v>24</v>
      </c>
      <c r="E6" t="s">
        <v>25</v>
      </c>
      <c r="M6" s="4">
        <v>1</v>
      </c>
      <c r="N6">
        <f t="shared" si="0"/>
        <v>1E-3</v>
      </c>
      <c r="O6">
        <f t="shared" si="1"/>
        <v>1000</v>
      </c>
      <c r="P6" s="8">
        <f t="shared" si="2"/>
        <v>1.1322611903507133E-2</v>
      </c>
      <c r="Q6" s="7">
        <f t="shared" si="3"/>
        <v>2.3019840724448222</v>
      </c>
      <c r="S6" s="4">
        <f t="shared" ref="S6:S42" si="6">$C$4*(Q6^2)*P6/$C$7</f>
        <v>1</v>
      </c>
      <c r="T6">
        <f t="shared" ref="T6:T42" si="7">$C$9/SQRT($C$5*P6*$C$7)</f>
        <v>9.999999999999998E-4</v>
      </c>
    </row>
    <row r="7" spans="1:24" x14ac:dyDescent="0.45">
      <c r="A7" t="s">
        <v>26</v>
      </c>
      <c r="B7" t="s">
        <v>27</v>
      </c>
      <c r="C7">
        <v>7.0800000000000002E-2</v>
      </c>
      <c r="D7" t="s">
        <v>28</v>
      </c>
      <c r="E7" t="s">
        <v>21</v>
      </c>
      <c r="M7" s="4">
        <v>2</v>
      </c>
      <c r="N7">
        <f t="shared" si="0"/>
        <v>1E-3</v>
      </c>
      <c r="O7">
        <f t="shared" si="1"/>
        <v>1414.2135623730951</v>
      </c>
      <c r="P7" s="8">
        <f t="shared" si="2"/>
        <v>1.1322611903507133E-2</v>
      </c>
      <c r="Q7" s="7">
        <f t="shared" si="3"/>
        <v>3.2554970956183169</v>
      </c>
      <c r="S7" s="4">
        <f t="shared" si="6"/>
        <v>2</v>
      </c>
      <c r="T7">
        <f t="shared" si="7"/>
        <v>9.999999999999998E-4</v>
      </c>
    </row>
    <row r="8" spans="1:24" x14ac:dyDescent="0.45">
      <c r="A8" t="s">
        <v>29</v>
      </c>
      <c r="B8" t="s">
        <v>30</v>
      </c>
      <c r="C8">
        <v>50</v>
      </c>
      <c r="D8" t="s">
        <v>31</v>
      </c>
      <c r="E8" t="s">
        <v>25</v>
      </c>
      <c r="M8" s="4">
        <v>4</v>
      </c>
      <c r="N8">
        <f t="shared" si="0"/>
        <v>1E-3</v>
      </c>
      <c r="O8">
        <f t="shared" si="1"/>
        <v>2000</v>
      </c>
      <c r="P8" s="8">
        <f t="shared" si="2"/>
        <v>1.1322611903507133E-2</v>
      </c>
      <c r="Q8" s="7">
        <f>SQRT(M8*$C$7/(P8*$C$4))</f>
        <v>4.6039681448896443</v>
      </c>
      <c r="S8" s="4">
        <f t="shared" si="6"/>
        <v>4</v>
      </c>
      <c r="T8">
        <f t="shared" si="7"/>
        <v>9.999999999999998E-4</v>
      </c>
    </row>
    <row r="9" spans="1:24" x14ac:dyDescent="0.45">
      <c r="A9" t="s">
        <v>32</v>
      </c>
      <c r="B9" t="s">
        <v>33</v>
      </c>
      <c r="C9">
        <f>8.94 * 10^-4</f>
        <v>8.9400000000000005E-4</v>
      </c>
      <c r="D9" t="s">
        <v>34</v>
      </c>
      <c r="E9" t="s">
        <v>21</v>
      </c>
      <c r="M9" s="4">
        <v>6</v>
      </c>
      <c r="N9">
        <f t="shared" si="0"/>
        <v>1E-3</v>
      </c>
      <c r="O9">
        <f t="shared" si="1"/>
        <v>2449.4897427831779</v>
      </c>
      <c r="P9" s="8">
        <f t="shared" si="2"/>
        <v>1.1322611903507133E-2</v>
      </c>
      <c r="Q9" s="7">
        <f t="shared" si="3"/>
        <v>5.6386863735038402</v>
      </c>
      <c r="S9" s="4">
        <f t="shared" si="6"/>
        <v>6</v>
      </c>
      <c r="T9">
        <f t="shared" si="7"/>
        <v>9.999999999999998E-4</v>
      </c>
    </row>
    <row r="10" spans="1:24" x14ac:dyDescent="0.45">
      <c r="A10" t="s">
        <v>35</v>
      </c>
      <c r="B10" t="s">
        <v>36</v>
      </c>
      <c r="C10">
        <f>18.5*10^-4</f>
        <v>1.8500000000000001E-3</v>
      </c>
      <c r="D10" t="s">
        <v>34</v>
      </c>
      <c r="E10" t="s">
        <v>18</v>
      </c>
      <c r="M10" s="4">
        <v>8</v>
      </c>
      <c r="N10">
        <f t="shared" si="0"/>
        <v>1E-3</v>
      </c>
      <c r="O10">
        <f t="shared" si="1"/>
        <v>2828.4271247461902</v>
      </c>
      <c r="P10" s="8">
        <f t="shared" si="2"/>
        <v>1.1322611903507133E-2</v>
      </c>
      <c r="Q10" s="7">
        <f t="shared" si="3"/>
        <v>6.5109941912366338</v>
      </c>
      <c r="S10" s="4">
        <f t="shared" si="6"/>
        <v>8</v>
      </c>
      <c r="T10">
        <f t="shared" si="7"/>
        <v>9.999999999999998E-4</v>
      </c>
    </row>
    <row r="11" spans="1:24" x14ac:dyDescent="0.45">
      <c r="M11" s="4">
        <v>10</v>
      </c>
      <c r="N11">
        <f t="shared" si="0"/>
        <v>1E-3</v>
      </c>
      <c r="O11">
        <f t="shared" si="1"/>
        <v>3162.2776601683795</v>
      </c>
      <c r="P11" s="8">
        <f t="shared" si="2"/>
        <v>1.1322611903507133E-2</v>
      </c>
      <c r="Q11" s="7">
        <f t="shared" si="3"/>
        <v>7.2795128063556893</v>
      </c>
      <c r="S11" s="4">
        <f t="shared" si="6"/>
        <v>10</v>
      </c>
      <c r="T11">
        <f t="shared" si="7"/>
        <v>9.999999999999998E-4</v>
      </c>
    </row>
    <row r="12" spans="1:24" x14ac:dyDescent="0.45">
      <c r="M12" s="4">
        <v>20</v>
      </c>
      <c r="N12">
        <f t="shared" si="0"/>
        <v>1E-3</v>
      </c>
      <c r="O12">
        <f t="shared" si="1"/>
        <v>4472.1359549995796</v>
      </c>
      <c r="P12" s="8">
        <f t="shared" si="2"/>
        <v>1.1322611903507133E-2</v>
      </c>
      <c r="Q12" s="7">
        <f t="shared" si="3"/>
        <v>10.294785738216845</v>
      </c>
      <c r="S12" s="4">
        <f t="shared" si="6"/>
        <v>19.999999999999996</v>
      </c>
      <c r="T12">
        <f t="shared" si="7"/>
        <v>9.999999999999998E-4</v>
      </c>
    </row>
    <row r="13" spans="1:24" x14ac:dyDescent="0.45">
      <c r="M13" s="4">
        <v>40</v>
      </c>
      <c r="N13">
        <f t="shared" si="0"/>
        <v>1E-3</v>
      </c>
      <c r="O13">
        <f t="shared" si="1"/>
        <v>6324.555320336759</v>
      </c>
      <c r="P13" s="8">
        <f t="shared" si="2"/>
        <v>1.1322611903507133E-2</v>
      </c>
      <c r="Q13" s="7">
        <f t="shared" si="3"/>
        <v>14.559025612711379</v>
      </c>
      <c r="S13" s="4">
        <f t="shared" si="6"/>
        <v>40</v>
      </c>
      <c r="T13">
        <f t="shared" si="7"/>
        <v>9.999999999999998E-4</v>
      </c>
    </row>
    <row r="14" spans="1:24" x14ac:dyDescent="0.45">
      <c r="M14" s="4">
        <v>60</v>
      </c>
      <c r="N14">
        <f t="shared" si="0"/>
        <v>1E-3</v>
      </c>
      <c r="O14">
        <f t="shared" si="1"/>
        <v>7745.9666924148341</v>
      </c>
      <c r="P14" s="8">
        <f t="shared" si="2"/>
        <v>1.1322611903507133E-2</v>
      </c>
      <c r="Q14" s="7">
        <f t="shared" si="3"/>
        <v>17.831091951627048</v>
      </c>
      <c r="S14" s="4">
        <f t="shared" si="6"/>
        <v>60</v>
      </c>
      <c r="T14">
        <f t="shared" si="7"/>
        <v>9.999999999999998E-4</v>
      </c>
    </row>
    <row r="15" spans="1:24" x14ac:dyDescent="0.45">
      <c r="M15" s="4">
        <v>80</v>
      </c>
      <c r="N15">
        <f t="shared" si="0"/>
        <v>1E-3</v>
      </c>
      <c r="O15">
        <f t="shared" si="1"/>
        <v>8944.2719099991591</v>
      </c>
      <c r="P15" s="8">
        <f t="shared" si="2"/>
        <v>1.1322611903507133E-2</v>
      </c>
      <c r="Q15" s="7">
        <f t="shared" si="3"/>
        <v>20.58957147643369</v>
      </c>
      <c r="S15" s="4">
        <f t="shared" si="6"/>
        <v>79.999999999999986</v>
      </c>
      <c r="T15">
        <f t="shared" si="7"/>
        <v>9.999999999999998E-4</v>
      </c>
    </row>
    <row r="16" spans="1:24" x14ac:dyDescent="0.45">
      <c r="M16" s="4">
        <v>100</v>
      </c>
      <c r="N16">
        <f t="shared" si="0"/>
        <v>1E-3</v>
      </c>
      <c r="O16">
        <f t="shared" si="1"/>
        <v>10000</v>
      </c>
      <c r="P16" s="8">
        <f t="shared" si="2"/>
        <v>1.1322611903507133E-2</v>
      </c>
      <c r="Q16" s="7">
        <f t="shared" si="3"/>
        <v>23.019840724448223</v>
      </c>
      <c r="S16" s="4">
        <f t="shared" si="6"/>
        <v>99.999999999999986</v>
      </c>
      <c r="T16">
        <f t="shared" si="7"/>
        <v>9.999999999999998E-4</v>
      </c>
    </row>
    <row r="17" spans="7:20" x14ac:dyDescent="0.45">
      <c r="M17" s="4">
        <v>200</v>
      </c>
      <c r="N17">
        <f t="shared" si="0"/>
        <v>1E-3</v>
      </c>
      <c r="O17">
        <f t="shared" si="1"/>
        <v>14142.13562373095</v>
      </c>
      <c r="P17" s="8">
        <f t="shared" si="2"/>
        <v>1.1322611903507133E-2</v>
      </c>
      <c r="Q17" s="7">
        <f t="shared" si="3"/>
        <v>32.554970956183169</v>
      </c>
      <c r="S17" s="4">
        <f t="shared" si="6"/>
        <v>199.99999999999997</v>
      </c>
      <c r="T17">
        <f t="shared" si="7"/>
        <v>9.999999999999998E-4</v>
      </c>
    </row>
    <row r="18" spans="7:20" x14ac:dyDescent="0.45">
      <c r="M18" s="4">
        <v>400</v>
      </c>
      <c r="N18">
        <f t="shared" si="0"/>
        <v>1E-3</v>
      </c>
      <c r="O18">
        <f t="shared" si="1"/>
        <v>20000</v>
      </c>
      <c r="P18" s="8">
        <f t="shared" si="2"/>
        <v>1.1322611903507133E-2</v>
      </c>
      <c r="Q18" s="7">
        <f t="shared" si="3"/>
        <v>46.039681448896445</v>
      </c>
      <c r="S18" s="4">
        <f t="shared" si="6"/>
        <v>399.99999999999994</v>
      </c>
      <c r="T18">
        <f t="shared" si="7"/>
        <v>9.999999999999998E-4</v>
      </c>
    </row>
    <row r="19" spans="7:20" x14ac:dyDescent="0.45">
      <c r="M19" s="4">
        <v>0.2</v>
      </c>
      <c r="N19">
        <f>10^-2</f>
        <v>0.01</v>
      </c>
      <c r="O19">
        <f t="shared" si="1"/>
        <v>44.721359549995789</v>
      </c>
      <c r="P19" s="8">
        <f t="shared" ref="P19:P20" si="8">($C$9^2)/($C$5*$C$7*(N19^2))</f>
        <v>1.1322611903507133E-4</v>
      </c>
      <c r="Q19" s="7">
        <f t="shared" ref="Q19:Q20" si="9">SQRT(M19*$C$7/(P19*$C$4))</f>
        <v>10.294785738216845</v>
      </c>
      <c r="S19" s="4">
        <f t="shared" si="6"/>
        <v>0.19999999999999996</v>
      </c>
      <c r="T19">
        <f t="shared" si="7"/>
        <v>0.01</v>
      </c>
    </row>
    <row r="20" spans="7:20" x14ac:dyDescent="0.45">
      <c r="M20" s="4">
        <v>0.4</v>
      </c>
      <c r="N20">
        <f>10^-2</f>
        <v>0.01</v>
      </c>
      <c r="O20">
        <f t="shared" si="1"/>
        <v>63.245553203367585</v>
      </c>
      <c r="P20" s="8">
        <f t="shared" si="8"/>
        <v>1.1322611903507133E-4</v>
      </c>
      <c r="Q20" s="7">
        <f t="shared" si="9"/>
        <v>14.559025612711379</v>
      </c>
      <c r="S20" s="4">
        <f t="shared" si="6"/>
        <v>0.39999999999999991</v>
      </c>
      <c r="T20">
        <f t="shared" si="7"/>
        <v>0.01</v>
      </c>
    </row>
    <row r="21" spans="7:20" x14ac:dyDescent="0.45">
      <c r="M21" s="4">
        <v>0.6</v>
      </c>
      <c r="N21">
        <f t="shared" ref="N21:N35" si="10">10^-2</f>
        <v>0.01</v>
      </c>
      <c r="O21">
        <f t="shared" si="1"/>
        <v>77.459666924148337</v>
      </c>
      <c r="P21" s="8">
        <f t="shared" si="2"/>
        <v>1.1322611903507133E-4</v>
      </c>
      <c r="Q21" s="7">
        <f t="shared" si="3"/>
        <v>17.831091951627048</v>
      </c>
      <c r="S21" s="4">
        <f t="shared" si="6"/>
        <v>0.60000000000000009</v>
      </c>
      <c r="T21">
        <f t="shared" si="7"/>
        <v>0.01</v>
      </c>
    </row>
    <row r="22" spans="7:20" x14ac:dyDescent="0.45">
      <c r="M22" s="4">
        <v>0.8</v>
      </c>
      <c r="N22">
        <f t="shared" si="10"/>
        <v>0.01</v>
      </c>
      <c r="O22">
        <f t="shared" si="1"/>
        <v>89.442719099991578</v>
      </c>
      <c r="P22" s="8">
        <f t="shared" si="2"/>
        <v>1.1322611903507133E-4</v>
      </c>
      <c r="Q22" s="7">
        <f t="shared" si="3"/>
        <v>20.58957147643369</v>
      </c>
      <c r="S22" s="4">
        <f t="shared" si="6"/>
        <v>0.79999999999999982</v>
      </c>
      <c r="T22">
        <f t="shared" si="7"/>
        <v>0.01</v>
      </c>
    </row>
    <row r="23" spans="7:20" x14ac:dyDescent="0.45">
      <c r="M23" s="4">
        <v>1</v>
      </c>
      <c r="N23">
        <f t="shared" si="10"/>
        <v>0.01</v>
      </c>
      <c r="O23">
        <f t="shared" si="1"/>
        <v>100</v>
      </c>
      <c r="P23" s="8">
        <f t="shared" si="2"/>
        <v>1.1322611903507133E-4</v>
      </c>
      <c r="Q23" s="7">
        <f t="shared" si="3"/>
        <v>23.019840724448223</v>
      </c>
      <c r="S23" s="4">
        <f t="shared" si="6"/>
        <v>0.99999999999999978</v>
      </c>
      <c r="T23">
        <f t="shared" si="7"/>
        <v>0.01</v>
      </c>
    </row>
    <row r="24" spans="7:20" x14ac:dyDescent="0.45">
      <c r="M24" s="4">
        <v>2</v>
      </c>
      <c r="N24">
        <f t="shared" si="10"/>
        <v>0.01</v>
      </c>
      <c r="O24">
        <f t="shared" si="1"/>
        <v>141.42135623730951</v>
      </c>
      <c r="P24" s="8">
        <f t="shared" si="2"/>
        <v>1.1322611903507133E-4</v>
      </c>
      <c r="Q24" s="7">
        <f t="shared" si="3"/>
        <v>32.554970956183169</v>
      </c>
      <c r="S24" s="4">
        <f t="shared" si="6"/>
        <v>1.9999999999999996</v>
      </c>
      <c r="T24">
        <f t="shared" si="7"/>
        <v>0.01</v>
      </c>
    </row>
    <row r="25" spans="7:20" x14ac:dyDescent="0.45">
      <c r="G25" s="19" t="s">
        <v>37</v>
      </c>
      <c r="H25" s="19"/>
      <c r="I25" s="19"/>
      <c r="J25" s="19"/>
      <c r="K25" s="19"/>
      <c r="L25" s="19"/>
      <c r="M25" s="4">
        <v>4</v>
      </c>
      <c r="N25">
        <f t="shared" si="10"/>
        <v>0.01</v>
      </c>
      <c r="O25">
        <f t="shared" si="1"/>
        <v>200</v>
      </c>
      <c r="P25" s="8">
        <f t="shared" si="2"/>
        <v>1.1322611903507133E-4</v>
      </c>
      <c r="Q25" s="7">
        <f t="shared" si="3"/>
        <v>46.039681448896445</v>
      </c>
      <c r="S25" s="4">
        <f t="shared" si="6"/>
        <v>3.9999999999999991</v>
      </c>
      <c r="T25">
        <f t="shared" si="7"/>
        <v>0.01</v>
      </c>
    </row>
    <row r="26" spans="7:20" x14ac:dyDescent="0.45">
      <c r="G26" s="19" t="s">
        <v>38</v>
      </c>
      <c r="H26" s="19"/>
      <c r="I26" s="19"/>
      <c r="J26" s="19"/>
      <c r="K26" s="19"/>
      <c r="L26" s="19"/>
      <c r="M26" s="4">
        <v>6</v>
      </c>
      <c r="N26">
        <f t="shared" si="10"/>
        <v>0.01</v>
      </c>
      <c r="O26">
        <f t="shared" si="1"/>
        <v>244.94897427831779</v>
      </c>
      <c r="P26" s="8">
        <f t="shared" si="2"/>
        <v>1.1322611903507133E-4</v>
      </c>
      <c r="Q26" s="7">
        <f t="shared" si="3"/>
        <v>56.386863735038403</v>
      </c>
      <c r="S26" s="4">
        <f t="shared" si="6"/>
        <v>5.9999999999999991</v>
      </c>
      <c r="T26">
        <f t="shared" si="7"/>
        <v>0.01</v>
      </c>
    </row>
    <row r="27" spans="7:20" x14ac:dyDescent="0.45">
      <c r="G27" s="19" t="s">
        <v>39</v>
      </c>
      <c r="H27" s="19"/>
      <c r="I27" s="19"/>
      <c r="J27" s="19"/>
      <c r="K27" s="19"/>
      <c r="L27" s="19"/>
      <c r="M27" s="4">
        <v>8</v>
      </c>
      <c r="N27">
        <f t="shared" si="10"/>
        <v>0.01</v>
      </c>
      <c r="O27">
        <f t="shared" si="1"/>
        <v>282.84271247461902</v>
      </c>
      <c r="P27" s="8">
        <f t="shared" si="2"/>
        <v>1.1322611903507133E-4</v>
      </c>
      <c r="Q27" s="7">
        <f t="shared" si="3"/>
        <v>65.109941912366338</v>
      </c>
      <c r="S27" s="4">
        <f t="shared" si="6"/>
        <v>7.9999999999999982</v>
      </c>
      <c r="T27">
        <f t="shared" si="7"/>
        <v>0.01</v>
      </c>
    </row>
    <row r="28" spans="7:20" x14ac:dyDescent="0.45">
      <c r="M28" s="4">
        <v>10</v>
      </c>
      <c r="N28">
        <f t="shared" si="10"/>
        <v>0.01</v>
      </c>
      <c r="O28">
        <f t="shared" si="1"/>
        <v>316.22776601683796</v>
      </c>
      <c r="P28" s="8">
        <f t="shared" si="2"/>
        <v>1.1322611903507133E-4</v>
      </c>
      <c r="Q28" s="7">
        <f t="shared" si="3"/>
        <v>72.795128063556888</v>
      </c>
      <c r="S28" s="4">
        <f t="shared" si="6"/>
        <v>9.9999999999999982</v>
      </c>
      <c r="T28">
        <f t="shared" si="7"/>
        <v>0.01</v>
      </c>
    </row>
    <row r="29" spans="7:20" x14ac:dyDescent="0.45">
      <c r="M29" s="4">
        <v>20</v>
      </c>
      <c r="N29">
        <f t="shared" si="10"/>
        <v>0.01</v>
      </c>
      <c r="O29">
        <f t="shared" si="1"/>
        <v>447.21359549995793</v>
      </c>
      <c r="P29" s="8">
        <f t="shared" si="2"/>
        <v>1.1322611903507133E-4</v>
      </c>
      <c r="Q29" s="7">
        <f t="shared" si="3"/>
        <v>102.94785738216845</v>
      </c>
      <c r="S29" s="4">
        <f t="shared" si="6"/>
        <v>19.999999999999996</v>
      </c>
      <c r="T29">
        <f t="shared" si="7"/>
        <v>0.01</v>
      </c>
    </row>
    <row r="30" spans="7:20" x14ac:dyDescent="0.45">
      <c r="M30" s="4">
        <v>40</v>
      </c>
      <c r="N30">
        <f t="shared" si="10"/>
        <v>0.01</v>
      </c>
      <c r="O30">
        <f t="shared" si="1"/>
        <v>632.45553203367592</v>
      </c>
      <c r="P30" s="8">
        <f t="shared" si="2"/>
        <v>1.1322611903507133E-4</v>
      </c>
      <c r="Q30" s="7">
        <f t="shared" si="3"/>
        <v>145.59025612711378</v>
      </c>
      <c r="S30" s="4">
        <f t="shared" si="6"/>
        <v>39.999999999999993</v>
      </c>
      <c r="T30">
        <f t="shared" si="7"/>
        <v>0.01</v>
      </c>
    </row>
    <row r="31" spans="7:20" x14ac:dyDescent="0.45">
      <c r="M31" s="4">
        <v>60</v>
      </c>
      <c r="N31">
        <f t="shared" si="10"/>
        <v>0.01</v>
      </c>
      <c r="O31">
        <f t="shared" si="1"/>
        <v>774.59666924148337</v>
      </c>
      <c r="P31" s="8">
        <f t="shared" si="2"/>
        <v>1.1322611903507133E-4</v>
      </c>
      <c r="Q31" s="7">
        <f t="shared" si="3"/>
        <v>178.3109195162705</v>
      </c>
      <c r="S31" s="4">
        <f t="shared" si="6"/>
        <v>60</v>
      </c>
      <c r="T31">
        <f t="shared" si="7"/>
        <v>0.01</v>
      </c>
    </row>
    <row r="32" spans="7:20" x14ac:dyDescent="0.45">
      <c r="M32" s="4">
        <v>80</v>
      </c>
      <c r="N32">
        <f t="shared" si="10"/>
        <v>0.01</v>
      </c>
      <c r="O32">
        <f t="shared" si="1"/>
        <v>894.42719099991587</v>
      </c>
      <c r="P32" s="8">
        <f t="shared" si="2"/>
        <v>1.1322611903507133E-4</v>
      </c>
      <c r="Q32" s="7">
        <f t="shared" si="3"/>
        <v>205.8957147643369</v>
      </c>
      <c r="S32" s="4">
        <f t="shared" si="6"/>
        <v>79.999999999999986</v>
      </c>
      <c r="T32">
        <f t="shared" si="7"/>
        <v>0.01</v>
      </c>
    </row>
    <row r="33" spans="13:20" x14ac:dyDescent="0.45">
      <c r="M33" s="4">
        <v>100</v>
      </c>
      <c r="N33">
        <f t="shared" si="10"/>
        <v>0.01</v>
      </c>
      <c r="O33">
        <f t="shared" si="1"/>
        <v>1000</v>
      </c>
      <c r="P33" s="8">
        <f t="shared" si="2"/>
        <v>1.1322611903507133E-4</v>
      </c>
      <c r="Q33" s="7">
        <f t="shared" si="3"/>
        <v>230.19840724448221</v>
      </c>
      <c r="S33" s="4">
        <f t="shared" si="6"/>
        <v>99.999999999999972</v>
      </c>
      <c r="T33">
        <f t="shared" si="7"/>
        <v>0.01</v>
      </c>
    </row>
    <row r="34" spans="13:20" x14ac:dyDescent="0.45">
      <c r="M34" s="4">
        <v>200</v>
      </c>
      <c r="N34">
        <f t="shared" si="10"/>
        <v>0.01</v>
      </c>
      <c r="O34">
        <f t="shared" si="1"/>
        <v>1414.2135623730951</v>
      </c>
      <c r="P34" s="8">
        <f t="shared" si="2"/>
        <v>1.1322611903507133E-4</v>
      </c>
      <c r="Q34" s="7">
        <f t="shared" si="3"/>
        <v>325.54970956183172</v>
      </c>
      <c r="S34" s="4">
        <f t="shared" si="6"/>
        <v>200.00000000000003</v>
      </c>
      <c r="T34">
        <f t="shared" si="7"/>
        <v>0.01</v>
      </c>
    </row>
    <row r="35" spans="13:20" x14ac:dyDescent="0.45">
      <c r="M35" s="4">
        <v>400</v>
      </c>
      <c r="N35">
        <f t="shared" si="10"/>
        <v>0.01</v>
      </c>
      <c r="O35">
        <f t="shared" si="1"/>
        <v>2000</v>
      </c>
      <c r="P35" s="8">
        <f t="shared" si="2"/>
        <v>1.1322611903507133E-4</v>
      </c>
      <c r="Q35" s="7">
        <f t="shared" si="3"/>
        <v>460.39681448896442</v>
      </c>
      <c r="S35" s="4">
        <f t="shared" si="6"/>
        <v>399.99999999999989</v>
      </c>
      <c r="T35">
        <f t="shared" si="7"/>
        <v>0.01</v>
      </c>
    </row>
    <row r="36" spans="13:20" x14ac:dyDescent="0.45">
      <c r="M36" s="4">
        <v>0.2</v>
      </c>
      <c r="N36">
        <v>0.1</v>
      </c>
      <c r="O36">
        <f t="shared" si="1"/>
        <v>4.4721359549995787</v>
      </c>
      <c r="P36" s="8">
        <f t="shared" ref="P36" si="11">($C$9^2)/($C$5*$C$7*(N36^2))</f>
        <v>1.1322611903507131E-6</v>
      </c>
      <c r="Q36" s="7">
        <f t="shared" ref="Q36" si="12">SQRT(M36*$C$7/(P36*$C$4))</f>
        <v>102.94785738216848</v>
      </c>
      <c r="S36" s="4">
        <f t="shared" si="6"/>
        <v>0.20000000000000007</v>
      </c>
      <c r="T36">
        <f t="shared" si="7"/>
        <v>0.1</v>
      </c>
    </row>
    <row r="37" spans="13:20" x14ac:dyDescent="0.45">
      <c r="M37" s="4">
        <v>0.4</v>
      </c>
      <c r="N37">
        <f>10^-1</f>
        <v>0.1</v>
      </c>
      <c r="O37">
        <f t="shared" si="1"/>
        <v>6.3245553203367582</v>
      </c>
      <c r="P37" s="8">
        <f t="shared" si="2"/>
        <v>1.1322611903507131E-6</v>
      </c>
      <c r="Q37" s="7">
        <f t="shared" si="3"/>
        <v>145.5902561271138</v>
      </c>
      <c r="S37" s="4">
        <f t="shared" si="6"/>
        <v>0.4</v>
      </c>
      <c r="T37">
        <f t="shared" si="7"/>
        <v>0.1</v>
      </c>
    </row>
    <row r="38" spans="13:20" x14ac:dyDescent="0.45">
      <c r="M38" s="4">
        <v>0.6</v>
      </c>
      <c r="N38">
        <f t="shared" ref="N38:N52" si="13">10^-1</f>
        <v>0.1</v>
      </c>
      <c r="O38">
        <f t="shared" si="1"/>
        <v>7.745966692414834</v>
      </c>
      <c r="P38" s="8">
        <f t="shared" si="2"/>
        <v>1.1322611903507131E-6</v>
      </c>
      <c r="Q38" s="7">
        <f t="shared" si="3"/>
        <v>178.3109195162705</v>
      </c>
      <c r="S38" s="4">
        <f t="shared" si="6"/>
        <v>0.6</v>
      </c>
      <c r="T38">
        <f t="shared" si="7"/>
        <v>0.1</v>
      </c>
    </row>
    <row r="39" spans="13:20" x14ac:dyDescent="0.45">
      <c r="M39" s="4">
        <v>0.8</v>
      </c>
      <c r="N39">
        <f t="shared" si="13"/>
        <v>0.1</v>
      </c>
      <c r="O39">
        <f t="shared" si="1"/>
        <v>8.9442719099991574</v>
      </c>
      <c r="P39" s="8">
        <f t="shared" si="2"/>
        <v>1.1322611903507131E-6</v>
      </c>
      <c r="Q39" s="7">
        <f t="shared" si="3"/>
        <v>205.89571476433696</v>
      </c>
      <c r="S39" s="4">
        <f t="shared" si="6"/>
        <v>0.80000000000000027</v>
      </c>
      <c r="T39">
        <f t="shared" si="7"/>
        <v>0.1</v>
      </c>
    </row>
    <row r="40" spans="13:20" x14ac:dyDescent="0.45">
      <c r="M40" s="4">
        <v>1</v>
      </c>
      <c r="N40">
        <f t="shared" si="13"/>
        <v>0.1</v>
      </c>
      <c r="O40">
        <f t="shared" si="1"/>
        <v>10</v>
      </c>
      <c r="P40" s="8">
        <f t="shared" si="2"/>
        <v>1.1322611903507131E-6</v>
      </c>
      <c r="Q40" s="7">
        <f t="shared" si="3"/>
        <v>230.19840724448224</v>
      </c>
      <c r="S40" s="4">
        <f t="shared" si="6"/>
        <v>1</v>
      </c>
      <c r="T40">
        <f t="shared" si="7"/>
        <v>0.1</v>
      </c>
    </row>
    <row r="41" spans="13:20" x14ac:dyDescent="0.45">
      <c r="M41" s="4">
        <v>2</v>
      </c>
      <c r="N41">
        <f t="shared" si="13"/>
        <v>0.1</v>
      </c>
      <c r="O41">
        <f t="shared" si="1"/>
        <v>14.142135623730951</v>
      </c>
      <c r="P41" s="8">
        <f t="shared" si="2"/>
        <v>1.1322611903507131E-6</v>
      </c>
      <c r="Q41" s="7">
        <f t="shared" si="3"/>
        <v>325.54970956183172</v>
      </c>
      <c r="S41" s="4">
        <f t="shared" si="6"/>
        <v>2</v>
      </c>
      <c r="T41">
        <f t="shared" si="7"/>
        <v>0.1</v>
      </c>
    </row>
    <row r="42" spans="13:20" x14ac:dyDescent="0.45">
      <c r="M42" s="4">
        <v>4</v>
      </c>
      <c r="N42">
        <f t="shared" si="13"/>
        <v>0.1</v>
      </c>
      <c r="O42">
        <f t="shared" si="1"/>
        <v>20</v>
      </c>
      <c r="P42" s="8">
        <f t="shared" si="2"/>
        <v>1.1322611903507131E-6</v>
      </c>
      <c r="Q42" s="7">
        <f t="shared" si="3"/>
        <v>460.39681448896448</v>
      </c>
      <c r="S42" s="4">
        <f t="shared" si="6"/>
        <v>4</v>
      </c>
      <c r="T42">
        <f t="shared" si="7"/>
        <v>0.1</v>
      </c>
    </row>
    <row r="43" spans="13:20" x14ac:dyDescent="0.45">
      <c r="M43" s="4">
        <v>6</v>
      </c>
      <c r="N43">
        <f t="shared" si="13"/>
        <v>0.1</v>
      </c>
      <c r="O43">
        <f t="shared" si="1"/>
        <v>24.494897427831777</v>
      </c>
      <c r="P43" s="8">
        <f t="shared" si="2"/>
        <v>1.1322611903507131E-6</v>
      </c>
      <c r="Q43" s="7">
        <f t="shared" si="3"/>
        <v>563.86863735038412</v>
      </c>
      <c r="S43" s="4">
        <f t="shared" si="4"/>
        <v>6</v>
      </c>
      <c r="T43">
        <f t="shared" si="5"/>
        <v>0.1</v>
      </c>
    </row>
    <row r="44" spans="13:20" x14ac:dyDescent="0.45">
      <c r="M44" s="4">
        <v>8</v>
      </c>
      <c r="N44">
        <f t="shared" si="13"/>
        <v>0.1</v>
      </c>
      <c r="O44">
        <f t="shared" si="1"/>
        <v>28.284271247461902</v>
      </c>
      <c r="P44" s="8">
        <f t="shared" si="2"/>
        <v>1.1322611903507131E-6</v>
      </c>
      <c r="Q44" s="7">
        <f t="shared" si="3"/>
        <v>651.09941912366344</v>
      </c>
      <c r="S44" s="4">
        <f t="shared" si="4"/>
        <v>8</v>
      </c>
      <c r="T44">
        <f t="shared" si="5"/>
        <v>0.1</v>
      </c>
    </row>
    <row r="45" spans="13:20" x14ac:dyDescent="0.45">
      <c r="M45" s="4">
        <v>10</v>
      </c>
      <c r="N45">
        <f t="shared" si="13"/>
        <v>0.1</v>
      </c>
      <c r="O45">
        <f t="shared" si="1"/>
        <v>31.622776601683793</v>
      </c>
      <c r="P45" s="8">
        <f t="shared" si="2"/>
        <v>1.1322611903507131E-6</v>
      </c>
      <c r="Q45" s="7">
        <f t="shared" si="3"/>
        <v>727.95128063556899</v>
      </c>
      <c r="S45" s="4">
        <f t="shared" si="4"/>
        <v>10</v>
      </c>
      <c r="T45">
        <f t="shared" si="5"/>
        <v>0.1</v>
      </c>
    </row>
    <row r="46" spans="13:20" x14ac:dyDescent="0.45">
      <c r="M46" s="4">
        <v>20</v>
      </c>
      <c r="N46">
        <f t="shared" si="13"/>
        <v>0.1</v>
      </c>
      <c r="O46">
        <f t="shared" si="1"/>
        <v>44.721359549995796</v>
      </c>
      <c r="P46" s="8">
        <f t="shared" si="2"/>
        <v>1.1322611903507131E-6</v>
      </c>
      <c r="Q46" s="7">
        <f t="shared" si="3"/>
        <v>1029.4785738216847</v>
      </c>
      <c r="S46" s="4">
        <f t="shared" si="4"/>
        <v>20</v>
      </c>
      <c r="T46">
        <f t="shared" si="5"/>
        <v>0.1</v>
      </c>
    </row>
    <row r="47" spans="13:20" x14ac:dyDescent="0.45">
      <c r="M47" s="4">
        <v>40</v>
      </c>
      <c r="N47">
        <f t="shared" si="13"/>
        <v>0.1</v>
      </c>
      <c r="O47">
        <f t="shared" si="1"/>
        <v>63.245553203367585</v>
      </c>
      <c r="P47" s="8">
        <f t="shared" si="2"/>
        <v>1.1322611903507131E-6</v>
      </c>
      <c r="Q47" s="7">
        <f t="shared" si="3"/>
        <v>1455.902561271138</v>
      </c>
      <c r="S47" s="4">
        <f t="shared" si="4"/>
        <v>40</v>
      </c>
      <c r="T47">
        <f t="shared" si="5"/>
        <v>0.1</v>
      </c>
    </row>
    <row r="48" spans="13:20" x14ac:dyDescent="0.45">
      <c r="M48" s="4">
        <v>60</v>
      </c>
      <c r="N48">
        <f t="shared" si="13"/>
        <v>0.1</v>
      </c>
      <c r="O48">
        <f t="shared" si="1"/>
        <v>77.459666924148337</v>
      </c>
      <c r="P48" s="8">
        <f t="shared" si="2"/>
        <v>1.1322611903507131E-6</v>
      </c>
      <c r="Q48" s="7">
        <f t="shared" si="3"/>
        <v>1783.109195162705</v>
      </c>
      <c r="S48" s="4">
        <f t="shared" si="4"/>
        <v>59.999999999999986</v>
      </c>
      <c r="T48">
        <f t="shared" si="5"/>
        <v>0.1</v>
      </c>
    </row>
    <row r="49" spans="13:20" x14ac:dyDescent="0.45">
      <c r="M49" s="4">
        <v>80</v>
      </c>
      <c r="N49">
        <f t="shared" si="13"/>
        <v>0.1</v>
      </c>
      <c r="O49">
        <f t="shared" si="1"/>
        <v>89.442719099991592</v>
      </c>
      <c r="P49" s="8">
        <f t="shared" si="2"/>
        <v>1.1322611903507131E-6</v>
      </c>
      <c r="Q49" s="7">
        <f t="shared" si="3"/>
        <v>2058.9571476433694</v>
      </c>
      <c r="S49" s="4">
        <f t="shared" si="4"/>
        <v>80</v>
      </c>
      <c r="T49">
        <f t="shared" si="5"/>
        <v>0.1</v>
      </c>
    </row>
    <row r="50" spans="13:20" x14ac:dyDescent="0.45">
      <c r="M50" s="4">
        <v>100</v>
      </c>
      <c r="N50">
        <f t="shared" si="13"/>
        <v>0.1</v>
      </c>
      <c r="O50">
        <f t="shared" si="1"/>
        <v>100</v>
      </c>
      <c r="P50" s="8">
        <f t="shared" si="2"/>
        <v>1.1322611903507131E-6</v>
      </c>
      <c r="Q50" s="7">
        <f t="shared" si="3"/>
        <v>2301.9840724448222</v>
      </c>
      <c r="S50" s="4">
        <f t="shared" si="4"/>
        <v>99.999999999999986</v>
      </c>
      <c r="T50">
        <f t="shared" si="5"/>
        <v>0.1</v>
      </c>
    </row>
    <row r="51" spans="13:20" x14ac:dyDescent="0.45">
      <c r="M51" s="4">
        <v>200</v>
      </c>
      <c r="N51">
        <f t="shared" si="13"/>
        <v>0.1</v>
      </c>
      <c r="O51">
        <f t="shared" si="1"/>
        <v>141.42135623730951</v>
      </c>
      <c r="P51" s="8">
        <f t="shared" si="2"/>
        <v>1.1322611903507131E-6</v>
      </c>
      <c r="Q51" s="7">
        <f t="shared" si="3"/>
        <v>3255.4970956183174</v>
      </c>
      <c r="S51" s="4">
        <f t="shared" si="4"/>
        <v>200.00000000000003</v>
      </c>
      <c r="T51">
        <f t="shared" si="5"/>
        <v>0.1</v>
      </c>
    </row>
    <row r="52" spans="13:20" x14ac:dyDescent="0.45">
      <c r="M52" s="4">
        <v>400</v>
      </c>
      <c r="N52">
        <f t="shared" si="13"/>
        <v>0.1</v>
      </c>
      <c r="O52">
        <f t="shared" si="1"/>
        <v>200</v>
      </c>
      <c r="P52" s="8">
        <f t="shared" si="2"/>
        <v>1.1322611903507131E-6</v>
      </c>
      <c r="Q52" s="7">
        <f t="shared" si="3"/>
        <v>4603.9681448896445</v>
      </c>
      <c r="S52" s="4">
        <f t="shared" si="4"/>
        <v>399.99999999999994</v>
      </c>
      <c r="T52">
        <f t="shared" si="5"/>
        <v>0.1</v>
      </c>
    </row>
  </sheetData>
  <mergeCells count="4">
    <mergeCell ref="A1:E1"/>
    <mergeCell ref="G25:L25"/>
    <mergeCell ref="G26:L26"/>
    <mergeCell ref="G27:L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F252-BC94-483F-B530-FC969D704D75}">
  <dimension ref="A1:L25"/>
  <sheetViews>
    <sheetView topLeftCell="A2" workbookViewId="0">
      <selection activeCell="C8" sqref="C8"/>
    </sheetView>
  </sheetViews>
  <sheetFormatPr defaultRowHeight="14.25" x14ac:dyDescent="0.45"/>
  <cols>
    <col min="1" max="1" width="16.86328125" customWidth="1"/>
    <col min="3" max="3" width="14.73046875" customWidth="1"/>
    <col min="4" max="4" width="13.3984375" customWidth="1"/>
  </cols>
  <sheetData>
    <row r="1" spans="1:12" ht="18" x14ac:dyDescent="0.55000000000000004">
      <c r="B1" s="21" t="s">
        <v>40</v>
      </c>
      <c r="C1" s="20"/>
      <c r="D1" s="20"/>
      <c r="E1" s="21" t="s">
        <v>41</v>
      </c>
      <c r="F1" s="20"/>
      <c r="G1" s="20"/>
      <c r="H1" s="21" t="s">
        <v>42</v>
      </c>
      <c r="I1" s="20"/>
      <c r="J1" s="20"/>
      <c r="K1" s="17"/>
      <c r="L1" t="s">
        <v>43</v>
      </c>
    </row>
    <row r="2" spans="1:12" x14ac:dyDescent="0.45">
      <c r="A2" s="2" t="s">
        <v>44</v>
      </c>
      <c r="B2" s="12" t="s">
        <v>45</v>
      </c>
      <c r="C2" s="2" t="s">
        <v>8</v>
      </c>
      <c r="D2" s="2" t="s">
        <v>46</v>
      </c>
      <c r="E2" s="12" t="s">
        <v>45</v>
      </c>
      <c r="F2" s="2" t="s">
        <v>8</v>
      </c>
      <c r="G2" s="2" t="s">
        <v>46</v>
      </c>
      <c r="H2" s="12" t="s">
        <v>45</v>
      </c>
      <c r="I2" s="2" t="s">
        <v>8</v>
      </c>
      <c r="J2" s="2" t="s">
        <v>46</v>
      </c>
      <c r="K2" s="17"/>
    </row>
    <row r="3" spans="1:12" x14ac:dyDescent="0.45">
      <c r="A3" s="14" t="s">
        <v>47</v>
      </c>
      <c r="B3" s="15" t="s">
        <v>48</v>
      </c>
      <c r="C3" s="16" t="s">
        <v>48</v>
      </c>
      <c r="D3" s="16"/>
      <c r="E3" s="15" t="s">
        <v>48</v>
      </c>
      <c r="F3" s="16"/>
      <c r="G3" s="16"/>
      <c r="H3" s="15" t="s">
        <v>48</v>
      </c>
      <c r="I3" s="16" t="s">
        <v>48</v>
      </c>
      <c r="J3" s="16" t="s">
        <v>48</v>
      </c>
      <c r="K3" s="17"/>
    </row>
    <row r="4" spans="1:12" x14ac:dyDescent="0.45">
      <c r="A4" s="4"/>
      <c r="B4" s="13">
        <v>1</v>
      </c>
      <c r="C4" s="11">
        <v>0.3</v>
      </c>
      <c r="D4" s="11"/>
      <c r="E4" s="13">
        <v>1</v>
      </c>
      <c r="F4" s="11"/>
      <c r="G4" s="11"/>
      <c r="H4" s="13">
        <v>1</v>
      </c>
      <c r="I4" s="11">
        <v>0.9</v>
      </c>
      <c r="J4" s="11">
        <v>1.5</v>
      </c>
      <c r="K4" s="17"/>
    </row>
    <row r="5" spans="1:12" x14ac:dyDescent="0.45">
      <c r="A5" s="14" t="s">
        <v>49</v>
      </c>
      <c r="B5" s="15" t="s">
        <v>48</v>
      </c>
      <c r="C5" s="16"/>
      <c r="D5" s="16"/>
      <c r="E5" s="15" t="s">
        <v>48</v>
      </c>
      <c r="F5" s="16"/>
      <c r="G5" s="16"/>
      <c r="H5" s="15" t="s">
        <v>48</v>
      </c>
      <c r="I5" s="16" t="s">
        <v>48</v>
      </c>
      <c r="J5" s="16" t="s">
        <v>48</v>
      </c>
      <c r="K5" s="17"/>
    </row>
    <row r="6" spans="1:12" x14ac:dyDescent="0.45">
      <c r="A6" s="4"/>
      <c r="B6" s="13">
        <v>3</v>
      </c>
      <c r="C6" s="11"/>
      <c r="D6" s="11"/>
      <c r="E6" s="13">
        <v>3</v>
      </c>
      <c r="F6" s="11"/>
      <c r="G6" s="11"/>
      <c r="H6" s="13">
        <v>6</v>
      </c>
      <c r="I6" s="11"/>
      <c r="J6" s="11"/>
      <c r="K6" s="17"/>
    </row>
    <row r="7" spans="1:12" x14ac:dyDescent="0.45">
      <c r="A7" s="14" t="s">
        <v>50</v>
      </c>
      <c r="B7" s="15" t="s">
        <v>48</v>
      </c>
      <c r="C7" s="16" t="s">
        <v>48</v>
      </c>
      <c r="D7" s="16" t="s">
        <v>48</v>
      </c>
      <c r="E7" s="15" t="s">
        <v>48</v>
      </c>
      <c r="F7" s="16" t="s">
        <v>48</v>
      </c>
      <c r="G7" s="16" t="s">
        <v>48</v>
      </c>
      <c r="H7" s="15" t="s">
        <v>48</v>
      </c>
      <c r="I7" s="16"/>
      <c r="J7" s="16"/>
      <c r="K7" s="17"/>
    </row>
    <row r="8" spans="1:12" x14ac:dyDescent="0.45">
      <c r="A8" s="4"/>
      <c r="B8" s="13">
        <v>11</v>
      </c>
      <c r="C8" s="11">
        <v>5</v>
      </c>
      <c r="D8" s="11">
        <v>7</v>
      </c>
      <c r="E8" s="13">
        <v>11</v>
      </c>
      <c r="F8" s="11">
        <v>7</v>
      </c>
      <c r="G8" s="11">
        <v>7</v>
      </c>
      <c r="H8" s="13">
        <v>11</v>
      </c>
      <c r="I8" s="11">
        <v>5</v>
      </c>
      <c r="J8" s="11">
        <v>15</v>
      </c>
      <c r="K8" s="17"/>
    </row>
    <row r="9" spans="1:12" x14ac:dyDescent="0.45">
      <c r="A9" s="14" t="s">
        <v>51</v>
      </c>
      <c r="B9" s="15" t="s">
        <v>48</v>
      </c>
      <c r="C9" s="16" t="s">
        <v>48</v>
      </c>
      <c r="D9" s="16" t="s">
        <v>48</v>
      </c>
      <c r="E9" s="15" t="s">
        <v>48</v>
      </c>
      <c r="F9" s="16" t="s">
        <v>48</v>
      </c>
      <c r="G9" s="16" t="s">
        <v>48</v>
      </c>
      <c r="H9" s="15" t="s">
        <v>48</v>
      </c>
      <c r="I9" s="16" t="s">
        <v>48</v>
      </c>
      <c r="J9" s="16" t="s">
        <v>48</v>
      </c>
      <c r="K9" s="17"/>
    </row>
    <row r="10" spans="1:12" x14ac:dyDescent="0.45">
      <c r="A10" s="4"/>
      <c r="B10" s="13">
        <v>35</v>
      </c>
      <c r="C10" s="11"/>
      <c r="D10" s="11">
        <v>70</v>
      </c>
      <c r="E10" s="13">
        <v>35</v>
      </c>
      <c r="F10" s="11"/>
      <c r="G10" s="11">
        <v>90</v>
      </c>
      <c r="H10" s="13">
        <v>37</v>
      </c>
      <c r="I10" s="11"/>
      <c r="J10" s="11"/>
      <c r="K10" s="17"/>
    </row>
    <row r="11" spans="1:12" x14ac:dyDescent="0.45">
      <c r="A11" s="14" t="s">
        <v>52</v>
      </c>
      <c r="B11" s="15" t="s">
        <v>48</v>
      </c>
      <c r="C11" s="16"/>
      <c r="D11" s="16" t="s">
        <v>48</v>
      </c>
      <c r="E11" s="15" t="s">
        <v>48</v>
      </c>
      <c r="F11" s="16"/>
      <c r="G11" s="16" t="s">
        <v>48</v>
      </c>
      <c r="H11" s="15" t="s">
        <v>48</v>
      </c>
      <c r="I11" s="16"/>
      <c r="J11" s="16"/>
      <c r="K11" s="17"/>
    </row>
    <row r="12" spans="1:12" x14ac:dyDescent="0.45">
      <c r="A12" s="4"/>
      <c r="B12" s="13">
        <v>80</v>
      </c>
      <c r="C12" s="11"/>
      <c r="D12" s="11">
        <v>300</v>
      </c>
      <c r="E12" s="13">
        <v>80</v>
      </c>
      <c r="F12" s="11"/>
      <c r="G12" s="11">
        <v>300</v>
      </c>
      <c r="H12" s="13">
        <v>80</v>
      </c>
      <c r="I12" s="11"/>
      <c r="J12" s="11"/>
      <c r="K12" s="17"/>
    </row>
    <row r="13" spans="1:12" x14ac:dyDescent="0.45">
      <c r="A13" s="14" t="s">
        <v>53</v>
      </c>
      <c r="B13" s="15" t="s">
        <v>48</v>
      </c>
      <c r="C13" s="16"/>
      <c r="D13" s="16" t="s">
        <v>48</v>
      </c>
      <c r="E13" s="15" t="s">
        <v>48</v>
      </c>
      <c r="F13" s="16"/>
      <c r="G13" s="16" t="s">
        <v>48</v>
      </c>
      <c r="H13" s="15" t="s">
        <v>48</v>
      </c>
      <c r="I13" s="16"/>
      <c r="J13" s="16"/>
      <c r="K13" s="17"/>
    </row>
    <row r="14" spans="1:12" x14ac:dyDescent="0.45">
      <c r="A14" s="4"/>
    </row>
    <row r="15" spans="1:12" x14ac:dyDescent="0.45">
      <c r="A15" s="4"/>
    </row>
    <row r="16" spans="1:12" x14ac:dyDescent="0.45">
      <c r="A16" s="4" t="s">
        <v>2</v>
      </c>
      <c r="B16" t="s">
        <v>54</v>
      </c>
      <c r="C16" t="s">
        <v>55</v>
      </c>
      <c r="D16" t="s">
        <v>56</v>
      </c>
      <c r="E16" t="s">
        <v>57</v>
      </c>
      <c r="F16" t="s">
        <v>51</v>
      </c>
      <c r="G16" t="s">
        <v>58</v>
      </c>
      <c r="H16" t="s">
        <v>59</v>
      </c>
    </row>
    <row r="17" spans="1:8" x14ac:dyDescent="0.45">
      <c r="A17" s="18">
        <v>1E-3</v>
      </c>
      <c r="B17" t="s">
        <v>45</v>
      </c>
      <c r="C17">
        <v>1</v>
      </c>
      <c r="D17">
        <f>B6-B4</f>
        <v>2</v>
      </c>
      <c r="E17">
        <f>B8-B6</f>
        <v>8</v>
      </c>
      <c r="F17">
        <f>B10-B8</f>
        <v>24</v>
      </c>
      <c r="G17">
        <f>B12-B10</f>
        <v>45</v>
      </c>
      <c r="H17">
        <f>1000-B12</f>
        <v>920</v>
      </c>
    </row>
    <row r="18" spans="1:8" x14ac:dyDescent="0.45">
      <c r="A18" s="18">
        <v>1E-3</v>
      </c>
      <c r="B18" t="s">
        <v>8</v>
      </c>
      <c r="C18">
        <f>C4</f>
        <v>0.3</v>
      </c>
      <c r="D18">
        <v>0</v>
      </c>
      <c r="E18">
        <v>4.7</v>
      </c>
      <c r="F18">
        <v>30</v>
      </c>
      <c r="G18">
        <v>0</v>
      </c>
      <c r="H18">
        <v>965</v>
      </c>
    </row>
    <row r="19" spans="1:8" x14ac:dyDescent="0.45">
      <c r="A19" s="18">
        <v>1E-3</v>
      </c>
      <c r="B19" t="s">
        <v>46</v>
      </c>
      <c r="C19">
        <v>0.1</v>
      </c>
      <c r="D19">
        <v>0</v>
      </c>
      <c r="E19">
        <v>7</v>
      </c>
      <c r="F19">
        <v>63</v>
      </c>
      <c r="G19">
        <v>230</v>
      </c>
      <c r="H19">
        <v>700</v>
      </c>
    </row>
    <row r="20" spans="1:8" x14ac:dyDescent="0.45">
      <c r="A20" s="18">
        <v>0.01</v>
      </c>
      <c r="B20" t="s">
        <v>45</v>
      </c>
      <c r="C20">
        <f>E4</f>
        <v>1</v>
      </c>
      <c r="D20">
        <v>2</v>
      </c>
      <c r="E20">
        <v>8</v>
      </c>
      <c r="F20">
        <v>24</v>
      </c>
      <c r="G20">
        <v>45</v>
      </c>
      <c r="H20">
        <v>920</v>
      </c>
    </row>
    <row r="21" spans="1:8" x14ac:dyDescent="0.45">
      <c r="A21" s="18">
        <v>0.01</v>
      </c>
      <c r="B21" t="s">
        <v>8</v>
      </c>
      <c r="C21">
        <v>0.1</v>
      </c>
      <c r="D21">
        <v>0</v>
      </c>
      <c r="E21">
        <v>7</v>
      </c>
      <c r="F21">
        <v>0</v>
      </c>
      <c r="G21">
        <v>0</v>
      </c>
      <c r="H21">
        <v>993</v>
      </c>
    </row>
    <row r="22" spans="1:8" x14ac:dyDescent="0.45">
      <c r="A22" s="18">
        <v>0.01</v>
      </c>
      <c r="B22" t="s">
        <v>46</v>
      </c>
      <c r="C22">
        <v>0.1</v>
      </c>
      <c r="D22">
        <v>0</v>
      </c>
      <c r="E22">
        <v>7</v>
      </c>
      <c r="F22">
        <v>83</v>
      </c>
      <c r="G22">
        <v>210</v>
      </c>
      <c r="H22">
        <v>700</v>
      </c>
    </row>
    <row r="23" spans="1:8" x14ac:dyDescent="0.45">
      <c r="A23" s="18">
        <v>0.01</v>
      </c>
      <c r="B23" t="s">
        <v>45</v>
      </c>
      <c r="C23">
        <v>1</v>
      </c>
      <c r="D23">
        <v>5</v>
      </c>
      <c r="E23">
        <v>5</v>
      </c>
      <c r="F23">
        <v>26</v>
      </c>
      <c r="G23">
        <v>43</v>
      </c>
      <c r="H23">
        <v>920</v>
      </c>
    </row>
    <row r="24" spans="1:8" x14ac:dyDescent="0.45">
      <c r="A24" s="18">
        <v>0.01</v>
      </c>
      <c r="B24" t="s">
        <v>8</v>
      </c>
      <c r="C24">
        <v>0.9</v>
      </c>
      <c r="D24">
        <v>0.1</v>
      </c>
      <c r="E24">
        <v>4</v>
      </c>
      <c r="F24">
        <v>0.1</v>
      </c>
      <c r="G24">
        <v>0</v>
      </c>
      <c r="H24">
        <v>994.9</v>
      </c>
    </row>
    <row r="25" spans="1:8" x14ac:dyDescent="0.45">
      <c r="A25" s="18">
        <v>0.01</v>
      </c>
      <c r="B25" t="s">
        <v>46</v>
      </c>
      <c r="C25">
        <v>1.5</v>
      </c>
      <c r="D25">
        <v>0.1</v>
      </c>
      <c r="E25">
        <v>13.4</v>
      </c>
      <c r="F25">
        <v>0.1</v>
      </c>
      <c r="G25">
        <v>0</v>
      </c>
      <c r="H25">
        <f>20-J8</f>
        <v>5</v>
      </c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F82D-E559-4505-AC06-38DDF4A20AB4}">
  <dimension ref="A1:N50"/>
  <sheetViews>
    <sheetView workbookViewId="0">
      <selection activeCell="G15" sqref="G15"/>
    </sheetView>
  </sheetViews>
  <sheetFormatPr defaultRowHeight="14.25" x14ac:dyDescent="0.45"/>
  <cols>
    <col min="2" max="2" width="16" customWidth="1"/>
    <col min="3" max="3" width="20.1328125" customWidth="1"/>
    <col min="4" max="4" width="9" customWidth="1"/>
    <col min="5" max="5" width="10.73046875" customWidth="1"/>
    <col min="6" max="6" width="10.265625" customWidth="1"/>
    <col min="7" max="7" width="10.59765625" customWidth="1"/>
    <col min="9" max="9" width="9.265625" customWidth="1"/>
  </cols>
  <sheetData>
    <row r="1" spans="1:14" x14ac:dyDescent="0.45">
      <c r="A1" t="s">
        <v>60</v>
      </c>
      <c r="B1" t="s">
        <v>61</v>
      </c>
      <c r="D1" s="19" t="s">
        <v>62</v>
      </c>
      <c r="E1" s="19"/>
      <c r="F1" s="19"/>
    </row>
    <row r="2" spans="1:14" x14ac:dyDescent="0.45">
      <c r="A2" t="s">
        <v>63</v>
      </c>
      <c r="B2" t="s">
        <v>64</v>
      </c>
      <c r="D2" s="10" t="s">
        <v>1</v>
      </c>
      <c r="E2" s="9" t="s">
        <v>2</v>
      </c>
      <c r="F2" t="s">
        <v>61</v>
      </c>
      <c r="H2" t="s">
        <v>2</v>
      </c>
      <c r="I2" t="s">
        <v>64</v>
      </c>
      <c r="J2" t="s">
        <v>65</v>
      </c>
      <c r="K2" t="s">
        <v>50</v>
      </c>
      <c r="L2" t="s">
        <v>51</v>
      </c>
      <c r="M2" t="s">
        <v>66</v>
      </c>
      <c r="N2" t="s">
        <v>67</v>
      </c>
    </row>
    <row r="3" spans="1:14" x14ac:dyDescent="0.45">
      <c r="A3" t="s">
        <v>68</v>
      </c>
      <c r="B3" t="s">
        <v>65</v>
      </c>
      <c r="D3" s="4">
        <v>0.4</v>
      </c>
      <c r="E3">
        <f>10^-3</f>
        <v>1E-3</v>
      </c>
      <c r="F3" t="s">
        <v>69</v>
      </c>
      <c r="H3">
        <v>1E-3</v>
      </c>
      <c r="K3">
        <v>0.4</v>
      </c>
    </row>
    <row r="4" spans="1:14" x14ac:dyDescent="0.45">
      <c r="A4" t="s">
        <v>69</v>
      </c>
      <c r="B4" t="s">
        <v>50</v>
      </c>
      <c r="D4" s="4">
        <v>0.6</v>
      </c>
      <c r="E4">
        <f t="shared" ref="E4:E18" si="0">10^-3</f>
        <v>1E-3</v>
      </c>
      <c r="F4" t="s">
        <v>69</v>
      </c>
      <c r="H4">
        <v>1E-3</v>
      </c>
      <c r="K4">
        <v>0.6</v>
      </c>
    </row>
    <row r="5" spans="1:14" x14ac:dyDescent="0.45">
      <c r="A5" t="s">
        <v>70</v>
      </c>
      <c r="B5" t="s">
        <v>51</v>
      </c>
      <c r="D5" s="4">
        <v>0.8</v>
      </c>
      <c r="E5">
        <f t="shared" si="0"/>
        <v>1E-3</v>
      </c>
      <c r="F5" t="s">
        <v>69</v>
      </c>
      <c r="H5">
        <v>1E-3</v>
      </c>
      <c r="K5">
        <v>0.8</v>
      </c>
    </row>
    <row r="6" spans="1:14" x14ac:dyDescent="0.45">
      <c r="A6" t="s">
        <v>71</v>
      </c>
      <c r="B6" t="s">
        <v>66</v>
      </c>
      <c r="D6" s="4">
        <v>1</v>
      </c>
      <c r="E6">
        <f t="shared" si="0"/>
        <v>1E-3</v>
      </c>
      <c r="F6" t="s">
        <v>69</v>
      </c>
      <c r="H6">
        <v>1E-3</v>
      </c>
      <c r="K6">
        <v>1</v>
      </c>
    </row>
    <row r="7" spans="1:14" x14ac:dyDescent="0.45">
      <c r="A7" t="s">
        <v>72</v>
      </c>
      <c r="B7" t="s">
        <v>67</v>
      </c>
      <c r="D7" s="4">
        <v>2</v>
      </c>
      <c r="E7">
        <f t="shared" si="0"/>
        <v>1E-3</v>
      </c>
      <c r="F7" t="s">
        <v>69</v>
      </c>
      <c r="H7">
        <v>1E-3</v>
      </c>
      <c r="K7">
        <v>2</v>
      </c>
    </row>
    <row r="8" spans="1:14" x14ac:dyDescent="0.45">
      <c r="D8" s="4">
        <v>4</v>
      </c>
      <c r="E8">
        <f t="shared" si="0"/>
        <v>1E-3</v>
      </c>
      <c r="F8" t="s">
        <v>69</v>
      </c>
      <c r="H8">
        <v>1E-3</v>
      </c>
      <c r="K8">
        <v>4</v>
      </c>
    </row>
    <row r="9" spans="1:14" x14ac:dyDescent="0.45">
      <c r="D9" s="4">
        <v>6</v>
      </c>
      <c r="E9">
        <f t="shared" si="0"/>
        <v>1E-3</v>
      </c>
      <c r="F9" t="s">
        <v>69</v>
      </c>
      <c r="H9">
        <v>1E-3</v>
      </c>
      <c r="K9">
        <v>6</v>
      </c>
    </row>
    <row r="10" spans="1:14" x14ac:dyDescent="0.45">
      <c r="D10" s="4">
        <v>8</v>
      </c>
      <c r="E10">
        <f t="shared" si="0"/>
        <v>1E-3</v>
      </c>
      <c r="F10" t="s">
        <v>70</v>
      </c>
      <c r="H10">
        <v>1E-3</v>
      </c>
      <c r="L10">
        <v>8</v>
      </c>
    </row>
    <row r="11" spans="1:14" x14ac:dyDescent="0.45">
      <c r="D11" s="4">
        <v>10</v>
      </c>
      <c r="E11">
        <f t="shared" si="0"/>
        <v>1E-3</v>
      </c>
      <c r="F11" t="s">
        <v>70</v>
      </c>
      <c r="H11">
        <v>1E-3</v>
      </c>
      <c r="L11">
        <v>10</v>
      </c>
    </row>
    <row r="12" spans="1:14" x14ac:dyDescent="0.45">
      <c r="D12" s="4">
        <v>20</v>
      </c>
      <c r="E12">
        <f t="shared" si="0"/>
        <v>1E-3</v>
      </c>
      <c r="F12" t="s">
        <v>70</v>
      </c>
      <c r="H12">
        <v>1E-3</v>
      </c>
      <c r="L12">
        <v>20</v>
      </c>
    </row>
    <row r="13" spans="1:14" x14ac:dyDescent="0.45">
      <c r="D13" s="4">
        <v>40</v>
      </c>
      <c r="E13">
        <f t="shared" si="0"/>
        <v>1E-3</v>
      </c>
      <c r="F13" t="s">
        <v>70</v>
      </c>
      <c r="H13">
        <v>1E-3</v>
      </c>
      <c r="L13">
        <v>40</v>
      </c>
    </row>
    <row r="14" spans="1:14" x14ac:dyDescent="0.45">
      <c r="D14" s="4">
        <v>60</v>
      </c>
      <c r="E14">
        <f t="shared" si="0"/>
        <v>1E-3</v>
      </c>
      <c r="F14" t="s">
        <v>70</v>
      </c>
      <c r="H14">
        <v>1E-3</v>
      </c>
      <c r="L14">
        <v>60</v>
      </c>
    </row>
    <row r="15" spans="1:14" x14ac:dyDescent="0.45">
      <c r="D15" s="4">
        <v>80</v>
      </c>
      <c r="E15">
        <f t="shared" si="0"/>
        <v>1E-3</v>
      </c>
      <c r="F15" t="s">
        <v>71</v>
      </c>
      <c r="H15">
        <v>1E-3</v>
      </c>
      <c r="M15">
        <v>80</v>
      </c>
    </row>
    <row r="16" spans="1:14" x14ac:dyDescent="0.45">
      <c r="D16" s="4">
        <v>100</v>
      </c>
      <c r="E16">
        <f t="shared" si="0"/>
        <v>1E-3</v>
      </c>
      <c r="F16" t="s">
        <v>71</v>
      </c>
      <c r="H16">
        <v>1E-3</v>
      </c>
      <c r="M16">
        <v>100</v>
      </c>
    </row>
    <row r="17" spans="4:14" x14ac:dyDescent="0.45">
      <c r="D17" s="4">
        <v>200</v>
      </c>
      <c r="E17">
        <f t="shared" si="0"/>
        <v>1E-3</v>
      </c>
      <c r="F17" t="s">
        <v>71</v>
      </c>
      <c r="H17">
        <v>1E-3</v>
      </c>
      <c r="M17">
        <v>200</v>
      </c>
    </row>
    <row r="18" spans="4:14" x14ac:dyDescent="0.45">
      <c r="D18" s="4">
        <v>400</v>
      </c>
      <c r="E18">
        <f t="shared" si="0"/>
        <v>1E-3</v>
      </c>
      <c r="F18" t="s">
        <v>72</v>
      </c>
      <c r="H18">
        <v>1E-3</v>
      </c>
      <c r="N18">
        <v>400</v>
      </c>
    </row>
    <row r="19" spans="4:14" x14ac:dyDescent="0.45">
      <c r="D19" s="4">
        <v>0.4</v>
      </c>
      <c r="E19">
        <f>10^-2</f>
        <v>0.01</v>
      </c>
      <c r="F19" t="s">
        <v>69</v>
      </c>
      <c r="H19">
        <v>0.01</v>
      </c>
      <c r="K19">
        <v>0.4</v>
      </c>
    </row>
    <row r="20" spans="4:14" x14ac:dyDescent="0.45">
      <c r="D20" s="4">
        <v>0.6</v>
      </c>
      <c r="E20">
        <f t="shared" ref="E20:E34" si="1">10^-2</f>
        <v>0.01</v>
      </c>
      <c r="F20" t="s">
        <v>69</v>
      </c>
      <c r="H20">
        <v>0.01</v>
      </c>
      <c r="K20">
        <v>0.6</v>
      </c>
    </row>
    <row r="21" spans="4:14" x14ac:dyDescent="0.45">
      <c r="D21" s="4">
        <v>0.8</v>
      </c>
      <c r="E21">
        <f t="shared" si="1"/>
        <v>0.01</v>
      </c>
      <c r="F21" t="s">
        <v>69</v>
      </c>
      <c r="H21">
        <v>0.01</v>
      </c>
      <c r="K21">
        <v>0.8</v>
      </c>
    </row>
    <row r="22" spans="4:14" x14ac:dyDescent="0.45">
      <c r="D22" s="4">
        <v>1</v>
      </c>
      <c r="E22">
        <f t="shared" si="1"/>
        <v>0.01</v>
      </c>
      <c r="F22" t="s">
        <v>69</v>
      </c>
      <c r="H22">
        <v>0.01</v>
      </c>
      <c r="K22">
        <v>1</v>
      </c>
    </row>
    <row r="23" spans="4:14" x14ac:dyDescent="0.45">
      <c r="D23" s="4">
        <v>2</v>
      </c>
      <c r="E23">
        <f t="shared" si="1"/>
        <v>0.01</v>
      </c>
      <c r="F23" t="s">
        <v>69</v>
      </c>
      <c r="H23">
        <v>0.01</v>
      </c>
      <c r="K23">
        <v>2</v>
      </c>
    </row>
    <row r="24" spans="4:14" x14ac:dyDescent="0.45">
      <c r="D24" s="4">
        <v>4</v>
      </c>
      <c r="E24">
        <f t="shared" si="1"/>
        <v>0.01</v>
      </c>
      <c r="F24" t="s">
        <v>69</v>
      </c>
      <c r="H24">
        <v>0.01</v>
      </c>
      <c r="K24">
        <v>4</v>
      </c>
    </row>
    <row r="25" spans="4:14" x14ac:dyDescent="0.45">
      <c r="D25" s="4">
        <v>6</v>
      </c>
      <c r="E25">
        <f t="shared" si="1"/>
        <v>0.01</v>
      </c>
      <c r="F25" t="s">
        <v>69</v>
      </c>
      <c r="H25">
        <v>0.01</v>
      </c>
      <c r="K25">
        <v>6</v>
      </c>
    </row>
    <row r="26" spans="4:14" x14ac:dyDescent="0.45">
      <c r="D26" s="4">
        <v>8</v>
      </c>
      <c r="E26">
        <f t="shared" si="1"/>
        <v>0.01</v>
      </c>
      <c r="F26" t="s">
        <v>70</v>
      </c>
      <c r="H26">
        <v>0.01</v>
      </c>
      <c r="L26">
        <v>8</v>
      </c>
    </row>
    <row r="27" spans="4:14" x14ac:dyDescent="0.45">
      <c r="D27" s="4">
        <v>10</v>
      </c>
      <c r="E27">
        <f t="shared" si="1"/>
        <v>0.01</v>
      </c>
      <c r="F27" t="s">
        <v>70</v>
      </c>
      <c r="H27">
        <v>0.01</v>
      </c>
      <c r="L27">
        <v>10</v>
      </c>
    </row>
    <row r="28" spans="4:14" x14ac:dyDescent="0.45">
      <c r="D28" s="4">
        <v>20</v>
      </c>
      <c r="E28">
        <f t="shared" si="1"/>
        <v>0.01</v>
      </c>
      <c r="F28" t="s">
        <v>70</v>
      </c>
      <c r="H28">
        <v>0.01</v>
      </c>
      <c r="L28">
        <v>20</v>
      </c>
    </row>
    <row r="29" spans="4:14" x14ac:dyDescent="0.45">
      <c r="D29" s="4">
        <v>40</v>
      </c>
      <c r="E29">
        <f t="shared" si="1"/>
        <v>0.01</v>
      </c>
      <c r="F29" t="s">
        <v>70</v>
      </c>
      <c r="H29">
        <v>0.01</v>
      </c>
      <c r="L29">
        <v>40</v>
      </c>
    </row>
    <row r="30" spans="4:14" x14ac:dyDescent="0.45">
      <c r="D30" s="4">
        <v>60</v>
      </c>
      <c r="E30">
        <f t="shared" si="1"/>
        <v>0.01</v>
      </c>
      <c r="F30" t="s">
        <v>70</v>
      </c>
      <c r="H30">
        <v>0.01</v>
      </c>
      <c r="L30">
        <v>60</v>
      </c>
    </row>
    <row r="31" spans="4:14" x14ac:dyDescent="0.45">
      <c r="D31" s="4">
        <v>80</v>
      </c>
      <c r="E31">
        <f t="shared" si="1"/>
        <v>0.01</v>
      </c>
      <c r="F31" t="s">
        <v>70</v>
      </c>
      <c r="H31">
        <v>0.01</v>
      </c>
      <c r="L31">
        <v>80</v>
      </c>
    </row>
    <row r="32" spans="4:14" x14ac:dyDescent="0.45">
      <c r="D32" s="4">
        <v>100</v>
      </c>
      <c r="E32">
        <f t="shared" si="1"/>
        <v>0.01</v>
      </c>
      <c r="F32" t="s">
        <v>71</v>
      </c>
      <c r="H32">
        <v>0.01</v>
      </c>
      <c r="M32">
        <v>100</v>
      </c>
    </row>
    <row r="33" spans="4:14" x14ac:dyDescent="0.45">
      <c r="D33" s="4">
        <v>200</v>
      </c>
      <c r="E33">
        <f t="shared" si="1"/>
        <v>0.01</v>
      </c>
      <c r="F33" t="s">
        <v>71</v>
      </c>
      <c r="H33">
        <v>0.01</v>
      </c>
      <c r="M33">
        <v>200</v>
      </c>
    </row>
    <row r="34" spans="4:14" x14ac:dyDescent="0.45">
      <c r="D34" s="4">
        <v>400</v>
      </c>
      <c r="E34">
        <f t="shared" si="1"/>
        <v>0.01</v>
      </c>
      <c r="F34" t="s">
        <v>72</v>
      </c>
      <c r="H34">
        <v>0.01</v>
      </c>
      <c r="N34">
        <v>400</v>
      </c>
    </row>
    <row r="35" spans="4:14" x14ac:dyDescent="0.45">
      <c r="D35" s="4">
        <v>0.4</v>
      </c>
      <c r="E35">
        <f>10^-1</f>
        <v>0.1</v>
      </c>
      <c r="F35" t="s">
        <v>63</v>
      </c>
      <c r="H35">
        <v>0.1</v>
      </c>
      <c r="I35">
        <v>0.4</v>
      </c>
    </row>
    <row r="36" spans="4:14" x14ac:dyDescent="0.45">
      <c r="D36" s="4">
        <v>0.6</v>
      </c>
      <c r="E36">
        <f t="shared" ref="E36:E50" si="2">10^-1</f>
        <v>0.1</v>
      </c>
      <c r="F36" t="s">
        <v>63</v>
      </c>
      <c r="H36">
        <v>0.1</v>
      </c>
      <c r="I36">
        <v>0.6</v>
      </c>
    </row>
    <row r="37" spans="4:14" x14ac:dyDescent="0.45">
      <c r="D37" s="4">
        <v>0.8</v>
      </c>
      <c r="E37">
        <f t="shared" si="2"/>
        <v>0.1</v>
      </c>
      <c r="F37" t="s">
        <v>63</v>
      </c>
      <c r="H37">
        <v>0.1</v>
      </c>
      <c r="I37">
        <v>0.8</v>
      </c>
    </row>
    <row r="38" spans="4:14" x14ac:dyDescent="0.45">
      <c r="D38" s="4">
        <v>1</v>
      </c>
      <c r="E38">
        <f t="shared" si="2"/>
        <v>0.1</v>
      </c>
      <c r="F38" t="s">
        <v>63</v>
      </c>
      <c r="H38">
        <v>0.1</v>
      </c>
      <c r="I38">
        <v>1</v>
      </c>
    </row>
    <row r="39" spans="4:14" x14ac:dyDescent="0.45">
      <c r="D39" s="4">
        <v>2</v>
      </c>
      <c r="E39">
        <f t="shared" si="2"/>
        <v>0.1</v>
      </c>
      <c r="F39" t="s">
        <v>68</v>
      </c>
      <c r="H39">
        <v>0.1</v>
      </c>
      <c r="J39">
        <v>2</v>
      </c>
    </row>
    <row r="40" spans="4:14" x14ac:dyDescent="0.45">
      <c r="D40" s="4">
        <v>4</v>
      </c>
      <c r="E40">
        <f t="shared" si="2"/>
        <v>0.1</v>
      </c>
      <c r="F40" t="s">
        <v>68</v>
      </c>
      <c r="H40">
        <v>0.1</v>
      </c>
      <c r="J40">
        <v>4</v>
      </c>
    </row>
    <row r="41" spans="4:14" x14ac:dyDescent="0.45">
      <c r="D41" s="4">
        <v>6</v>
      </c>
      <c r="E41">
        <f t="shared" si="2"/>
        <v>0.1</v>
      </c>
      <c r="F41" t="s">
        <v>68</v>
      </c>
      <c r="H41">
        <v>0.1</v>
      </c>
      <c r="J41">
        <v>6</v>
      </c>
    </row>
    <row r="42" spans="4:14" x14ac:dyDescent="0.45">
      <c r="D42" s="4">
        <v>8</v>
      </c>
      <c r="E42">
        <f t="shared" si="2"/>
        <v>0.1</v>
      </c>
      <c r="F42" t="s">
        <v>68</v>
      </c>
      <c r="H42">
        <v>0.1</v>
      </c>
      <c r="J42">
        <v>8</v>
      </c>
    </row>
    <row r="43" spans="4:14" x14ac:dyDescent="0.45">
      <c r="D43" s="4">
        <v>10</v>
      </c>
      <c r="E43">
        <f t="shared" si="2"/>
        <v>0.1</v>
      </c>
      <c r="F43" t="s">
        <v>68</v>
      </c>
      <c r="H43">
        <v>0.1</v>
      </c>
      <c r="J43">
        <v>10</v>
      </c>
    </row>
    <row r="44" spans="4:14" x14ac:dyDescent="0.45">
      <c r="D44" s="4">
        <v>20</v>
      </c>
      <c r="E44">
        <f t="shared" si="2"/>
        <v>0.1</v>
      </c>
      <c r="F44" t="s">
        <v>70</v>
      </c>
      <c r="H44">
        <v>0.1</v>
      </c>
      <c r="L44">
        <v>20</v>
      </c>
    </row>
    <row r="45" spans="4:14" x14ac:dyDescent="0.45">
      <c r="D45" s="4">
        <v>40</v>
      </c>
      <c r="E45">
        <f t="shared" si="2"/>
        <v>0.1</v>
      </c>
    </row>
    <row r="46" spans="4:14" x14ac:dyDescent="0.45">
      <c r="D46" s="4">
        <v>60</v>
      </c>
      <c r="E46">
        <f t="shared" si="2"/>
        <v>0.1</v>
      </c>
    </row>
    <row r="47" spans="4:14" x14ac:dyDescent="0.45">
      <c r="D47" s="4">
        <v>80</v>
      </c>
      <c r="E47">
        <f t="shared" si="2"/>
        <v>0.1</v>
      </c>
    </row>
    <row r="48" spans="4:14" x14ac:dyDescent="0.45">
      <c r="D48" s="4">
        <v>100</v>
      </c>
      <c r="E48">
        <f t="shared" si="2"/>
        <v>0.1</v>
      </c>
    </row>
    <row r="49" spans="4:5" x14ac:dyDescent="0.45">
      <c r="D49" s="4">
        <v>200</v>
      </c>
      <c r="E49">
        <f t="shared" si="2"/>
        <v>0.1</v>
      </c>
    </row>
    <row r="50" spans="4:5" x14ac:dyDescent="0.45">
      <c r="D50" s="4">
        <v>400</v>
      </c>
      <c r="E50">
        <f t="shared" si="2"/>
        <v>0.1</v>
      </c>
    </row>
  </sheetData>
  <mergeCells count="1">
    <mergeCell ref="D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DC54-A25F-4D55-92C3-35D73E800087}">
  <dimension ref="A1:L64"/>
  <sheetViews>
    <sheetView workbookViewId="0">
      <selection activeCell="D52" sqref="D52:F64"/>
    </sheetView>
  </sheetViews>
  <sheetFormatPr defaultRowHeight="14.25" x14ac:dyDescent="0.45"/>
  <cols>
    <col min="2" max="2" width="16" customWidth="1"/>
    <col min="3" max="3" width="20.1328125" customWidth="1"/>
    <col min="4" max="4" width="9" customWidth="1"/>
    <col min="5" max="5" width="10.73046875" customWidth="1"/>
    <col min="6" max="6" width="10.265625" customWidth="1"/>
    <col min="7" max="7" width="10.59765625" customWidth="1"/>
    <col min="9" max="9" width="9.265625" customWidth="1"/>
  </cols>
  <sheetData>
    <row r="1" spans="1:12" x14ac:dyDescent="0.45">
      <c r="A1" t="s">
        <v>60</v>
      </c>
      <c r="B1" t="s">
        <v>61</v>
      </c>
      <c r="D1" s="19" t="s">
        <v>62</v>
      </c>
      <c r="E1" s="19"/>
      <c r="F1" s="19"/>
    </row>
    <row r="2" spans="1:12" x14ac:dyDescent="0.45">
      <c r="A2" t="s">
        <v>63</v>
      </c>
      <c r="B2" t="s">
        <v>64</v>
      </c>
      <c r="D2" s="10" t="s">
        <v>1</v>
      </c>
      <c r="E2" s="9" t="s">
        <v>2</v>
      </c>
      <c r="F2" t="s">
        <v>61</v>
      </c>
      <c r="H2" t="s">
        <v>2</v>
      </c>
      <c r="I2" t="s">
        <v>64</v>
      </c>
      <c r="J2" t="s">
        <v>65</v>
      </c>
      <c r="K2" t="s">
        <v>50</v>
      </c>
      <c r="L2" t="s">
        <v>73</v>
      </c>
    </row>
    <row r="3" spans="1:12" x14ac:dyDescent="0.45">
      <c r="A3" t="s">
        <v>68</v>
      </c>
      <c r="B3" t="s">
        <v>65</v>
      </c>
      <c r="D3" s="4">
        <v>0.4</v>
      </c>
      <c r="E3">
        <f>10^-3</f>
        <v>1E-3</v>
      </c>
      <c r="F3" t="s">
        <v>63</v>
      </c>
      <c r="H3">
        <v>1E-3</v>
      </c>
      <c r="I3">
        <v>0.4</v>
      </c>
    </row>
    <row r="4" spans="1:12" x14ac:dyDescent="0.45">
      <c r="A4" t="s">
        <v>69</v>
      </c>
      <c r="B4" t="s">
        <v>50</v>
      </c>
      <c r="D4" s="4">
        <v>0.6</v>
      </c>
      <c r="E4">
        <f t="shared" ref="E4:E18" si="0">10^-3</f>
        <v>1E-3</v>
      </c>
      <c r="F4" t="s">
        <v>68</v>
      </c>
      <c r="H4">
        <v>1E-3</v>
      </c>
      <c r="J4">
        <v>0.6</v>
      </c>
    </row>
    <row r="5" spans="1:12" x14ac:dyDescent="0.45">
      <c r="A5" t="s">
        <v>70</v>
      </c>
      <c r="B5" t="s">
        <v>73</v>
      </c>
      <c r="D5" s="4">
        <v>0.8</v>
      </c>
      <c r="E5">
        <f t="shared" si="0"/>
        <v>1E-3</v>
      </c>
      <c r="F5" t="s">
        <v>68</v>
      </c>
      <c r="H5">
        <v>1E-3</v>
      </c>
      <c r="J5">
        <v>0.8</v>
      </c>
    </row>
    <row r="6" spans="1:12" x14ac:dyDescent="0.45">
      <c r="D6" s="4">
        <v>1</v>
      </c>
      <c r="E6">
        <f t="shared" si="0"/>
        <v>1E-3</v>
      </c>
      <c r="F6" t="s">
        <v>68</v>
      </c>
      <c r="H6">
        <v>1E-3</v>
      </c>
      <c r="J6">
        <v>1</v>
      </c>
    </row>
    <row r="7" spans="1:12" x14ac:dyDescent="0.45">
      <c r="D7" s="4">
        <v>2</v>
      </c>
      <c r="E7">
        <f t="shared" si="0"/>
        <v>1E-3</v>
      </c>
      <c r="F7" t="s">
        <v>68</v>
      </c>
      <c r="H7">
        <v>1E-3</v>
      </c>
      <c r="J7">
        <v>2</v>
      </c>
    </row>
    <row r="8" spans="1:12" x14ac:dyDescent="0.45">
      <c r="D8" s="4">
        <v>4</v>
      </c>
      <c r="E8">
        <f t="shared" si="0"/>
        <v>1E-3</v>
      </c>
      <c r="F8" t="s">
        <v>70</v>
      </c>
      <c r="H8">
        <v>1E-3</v>
      </c>
      <c r="L8">
        <v>4</v>
      </c>
    </row>
    <row r="9" spans="1:12" x14ac:dyDescent="0.45">
      <c r="D9" s="4">
        <v>6</v>
      </c>
      <c r="E9">
        <f t="shared" si="0"/>
        <v>1E-3</v>
      </c>
      <c r="F9" t="s">
        <v>70</v>
      </c>
      <c r="H9">
        <v>1E-3</v>
      </c>
      <c r="K9" t="s">
        <v>74</v>
      </c>
      <c r="L9">
        <v>6</v>
      </c>
    </row>
    <row r="10" spans="1:12" x14ac:dyDescent="0.45">
      <c r="D10" s="4">
        <v>8</v>
      </c>
      <c r="E10">
        <f t="shared" si="0"/>
        <v>1E-3</v>
      </c>
      <c r="F10" t="s">
        <v>70</v>
      </c>
      <c r="H10">
        <v>1E-3</v>
      </c>
      <c r="K10" t="s">
        <v>74</v>
      </c>
      <c r="L10">
        <v>8</v>
      </c>
    </row>
    <row r="11" spans="1:12" x14ac:dyDescent="0.45">
      <c r="D11" s="4">
        <v>10</v>
      </c>
      <c r="E11">
        <f t="shared" si="0"/>
        <v>1E-3</v>
      </c>
      <c r="F11" t="s">
        <v>70</v>
      </c>
      <c r="H11">
        <v>1E-3</v>
      </c>
      <c r="K11" t="s">
        <v>74</v>
      </c>
      <c r="L11">
        <v>10</v>
      </c>
    </row>
    <row r="12" spans="1:12" x14ac:dyDescent="0.45">
      <c r="D12" s="4">
        <v>20</v>
      </c>
      <c r="E12">
        <f t="shared" si="0"/>
        <v>1E-3</v>
      </c>
      <c r="F12" t="s">
        <v>70</v>
      </c>
      <c r="H12">
        <v>1E-3</v>
      </c>
      <c r="K12" t="s">
        <v>74</v>
      </c>
      <c r="L12">
        <v>20</v>
      </c>
    </row>
    <row r="13" spans="1:12" x14ac:dyDescent="0.45">
      <c r="D13" s="4">
        <v>40</v>
      </c>
      <c r="E13">
        <f t="shared" si="0"/>
        <v>1E-3</v>
      </c>
      <c r="F13" t="s">
        <v>70</v>
      </c>
      <c r="H13">
        <v>1E-3</v>
      </c>
      <c r="K13" t="s">
        <v>74</v>
      </c>
      <c r="L13">
        <v>40</v>
      </c>
    </row>
    <row r="14" spans="1:12" x14ac:dyDescent="0.45">
      <c r="D14" s="4">
        <v>60</v>
      </c>
      <c r="E14">
        <f t="shared" si="0"/>
        <v>1E-3</v>
      </c>
      <c r="F14" t="s">
        <v>70</v>
      </c>
      <c r="H14">
        <v>1E-3</v>
      </c>
      <c r="K14" t="s">
        <v>74</v>
      </c>
      <c r="L14">
        <v>60</v>
      </c>
    </row>
    <row r="15" spans="1:12" x14ac:dyDescent="0.45">
      <c r="D15" s="4">
        <v>80</v>
      </c>
      <c r="E15">
        <f t="shared" si="0"/>
        <v>1E-3</v>
      </c>
      <c r="F15" t="s">
        <v>70</v>
      </c>
      <c r="H15">
        <v>1E-3</v>
      </c>
      <c r="K15" t="s">
        <v>74</v>
      </c>
      <c r="L15">
        <v>80</v>
      </c>
    </row>
    <row r="16" spans="1:12" x14ac:dyDescent="0.45">
      <c r="D16" s="4">
        <v>100</v>
      </c>
      <c r="E16">
        <f t="shared" si="0"/>
        <v>1E-3</v>
      </c>
      <c r="F16" t="s">
        <v>70</v>
      </c>
      <c r="H16">
        <v>1E-3</v>
      </c>
      <c r="K16" t="s">
        <v>74</v>
      </c>
      <c r="L16">
        <v>100</v>
      </c>
    </row>
    <row r="17" spans="4:12" x14ac:dyDescent="0.45">
      <c r="D17" s="4">
        <v>200</v>
      </c>
      <c r="E17">
        <f t="shared" si="0"/>
        <v>1E-3</v>
      </c>
      <c r="F17" t="s">
        <v>70</v>
      </c>
      <c r="H17">
        <v>1E-3</v>
      </c>
      <c r="K17" t="s">
        <v>74</v>
      </c>
      <c r="L17">
        <v>200</v>
      </c>
    </row>
    <row r="18" spans="4:12" x14ac:dyDescent="0.45">
      <c r="D18" s="4">
        <v>400</v>
      </c>
      <c r="E18">
        <f t="shared" si="0"/>
        <v>1E-3</v>
      </c>
      <c r="F18" t="s">
        <v>70</v>
      </c>
      <c r="H18">
        <v>1E-3</v>
      </c>
      <c r="K18" t="s">
        <v>74</v>
      </c>
      <c r="L18">
        <v>400</v>
      </c>
    </row>
    <row r="19" spans="4:12" x14ac:dyDescent="0.45">
      <c r="D19" s="4">
        <v>0.4</v>
      </c>
      <c r="E19">
        <f>10^-2</f>
        <v>0.01</v>
      </c>
      <c r="F19" t="s">
        <v>69</v>
      </c>
      <c r="H19">
        <v>0.01</v>
      </c>
      <c r="K19">
        <v>0.4</v>
      </c>
    </row>
    <row r="20" spans="4:12" x14ac:dyDescent="0.45">
      <c r="D20" s="4">
        <v>0.6</v>
      </c>
      <c r="E20">
        <f t="shared" ref="E20:E34" si="1">10^-2</f>
        <v>0.01</v>
      </c>
      <c r="F20" t="s">
        <v>69</v>
      </c>
      <c r="H20">
        <v>0.01</v>
      </c>
      <c r="K20">
        <v>0.6</v>
      </c>
    </row>
    <row r="21" spans="4:12" x14ac:dyDescent="0.45">
      <c r="D21" s="4">
        <v>0.8</v>
      </c>
      <c r="E21">
        <f t="shared" si="1"/>
        <v>0.01</v>
      </c>
      <c r="F21" t="s">
        <v>69</v>
      </c>
      <c r="H21">
        <v>0.01</v>
      </c>
      <c r="K21">
        <v>0.8</v>
      </c>
    </row>
    <row r="22" spans="4:12" x14ac:dyDescent="0.45">
      <c r="D22" s="4">
        <v>1</v>
      </c>
      <c r="E22">
        <f t="shared" si="1"/>
        <v>0.01</v>
      </c>
      <c r="F22" t="s">
        <v>69</v>
      </c>
      <c r="H22">
        <v>0.01</v>
      </c>
      <c r="K22">
        <v>1</v>
      </c>
    </row>
    <row r="23" spans="4:12" x14ac:dyDescent="0.45">
      <c r="D23" s="4">
        <v>2</v>
      </c>
      <c r="E23">
        <f t="shared" si="1"/>
        <v>0.01</v>
      </c>
      <c r="F23" t="s">
        <v>69</v>
      </c>
      <c r="H23">
        <v>0.01</v>
      </c>
      <c r="K23">
        <v>2</v>
      </c>
    </row>
    <row r="24" spans="4:12" x14ac:dyDescent="0.45">
      <c r="D24" s="4">
        <v>4</v>
      </c>
      <c r="E24">
        <f t="shared" si="1"/>
        <v>0.01</v>
      </c>
      <c r="F24" t="s">
        <v>69</v>
      </c>
      <c r="H24">
        <v>0.01</v>
      </c>
      <c r="K24">
        <v>4</v>
      </c>
    </row>
    <row r="25" spans="4:12" x14ac:dyDescent="0.45">
      <c r="D25" s="4">
        <v>6</v>
      </c>
      <c r="E25">
        <f t="shared" si="1"/>
        <v>0.01</v>
      </c>
      <c r="F25" t="s">
        <v>69</v>
      </c>
      <c r="H25">
        <v>0.01</v>
      </c>
      <c r="K25">
        <v>6</v>
      </c>
    </row>
    <row r="26" spans="4:12" x14ac:dyDescent="0.45">
      <c r="D26" s="4">
        <v>8</v>
      </c>
      <c r="E26">
        <f t="shared" si="1"/>
        <v>0.01</v>
      </c>
      <c r="F26" t="s">
        <v>70</v>
      </c>
      <c r="H26">
        <v>0.01</v>
      </c>
      <c r="K26" t="s">
        <v>74</v>
      </c>
      <c r="L26">
        <v>8</v>
      </c>
    </row>
    <row r="27" spans="4:12" x14ac:dyDescent="0.45">
      <c r="D27" s="4">
        <v>10</v>
      </c>
      <c r="E27">
        <f t="shared" si="1"/>
        <v>0.01</v>
      </c>
      <c r="F27" t="s">
        <v>70</v>
      </c>
      <c r="H27">
        <v>0.01</v>
      </c>
      <c r="K27" t="s">
        <v>74</v>
      </c>
      <c r="L27">
        <v>10</v>
      </c>
    </row>
    <row r="28" spans="4:12" x14ac:dyDescent="0.45">
      <c r="D28" s="4">
        <v>20</v>
      </c>
      <c r="E28">
        <f t="shared" si="1"/>
        <v>0.01</v>
      </c>
      <c r="F28" t="s">
        <v>70</v>
      </c>
      <c r="H28">
        <v>0.01</v>
      </c>
      <c r="K28" t="s">
        <v>74</v>
      </c>
      <c r="L28">
        <v>20</v>
      </c>
    </row>
    <row r="29" spans="4:12" x14ac:dyDescent="0.45">
      <c r="D29" s="4">
        <v>40</v>
      </c>
      <c r="E29">
        <f t="shared" si="1"/>
        <v>0.01</v>
      </c>
      <c r="F29" t="s">
        <v>70</v>
      </c>
      <c r="H29">
        <v>0.01</v>
      </c>
      <c r="K29" t="s">
        <v>74</v>
      </c>
      <c r="L29">
        <v>40</v>
      </c>
    </row>
    <row r="30" spans="4:12" x14ac:dyDescent="0.45">
      <c r="D30" s="4">
        <v>60</v>
      </c>
      <c r="E30">
        <f t="shared" si="1"/>
        <v>0.01</v>
      </c>
      <c r="F30" t="s">
        <v>70</v>
      </c>
      <c r="H30">
        <v>0.01</v>
      </c>
      <c r="K30" t="s">
        <v>74</v>
      </c>
      <c r="L30">
        <v>60</v>
      </c>
    </row>
    <row r="31" spans="4:12" x14ac:dyDescent="0.45">
      <c r="D31" s="4">
        <v>80</v>
      </c>
      <c r="E31">
        <f t="shared" si="1"/>
        <v>0.01</v>
      </c>
      <c r="F31" t="s">
        <v>70</v>
      </c>
      <c r="H31">
        <v>0.01</v>
      </c>
      <c r="K31" t="s">
        <v>74</v>
      </c>
      <c r="L31">
        <v>80</v>
      </c>
    </row>
    <row r="32" spans="4:12" x14ac:dyDescent="0.45">
      <c r="D32" s="4">
        <v>100</v>
      </c>
      <c r="E32">
        <f t="shared" si="1"/>
        <v>0.01</v>
      </c>
      <c r="F32" t="s">
        <v>70</v>
      </c>
      <c r="H32">
        <v>0.01</v>
      </c>
      <c r="K32" t="s">
        <v>74</v>
      </c>
      <c r="L32">
        <v>100</v>
      </c>
    </row>
    <row r="33" spans="4:12" x14ac:dyDescent="0.45">
      <c r="D33" s="4">
        <v>200</v>
      </c>
      <c r="E33">
        <f t="shared" si="1"/>
        <v>0.01</v>
      </c>
      <c r="F33" t="s">
        <v>70</v>
      </c>
      <c r="H33">
        <v>0.01</v>
      </c>
      <c r="K33" t="s">
        <v>74</v>
      </c>
      <c r="L33">
        <v>200</v>
      </c>
    </row>
    <row r="34" spans="4:12" x14ac:dyDescent="0.45">
      <c r="D34" s="4">
        <v>400</v>
      </c>
      <c r="E34">
        <f t="shared" si="1"/>
        <v>0.01</v>
      </c>
      <c r="F34" t="s">
        <v>70</v>
      </c>
      <c r="H34">
        <v>0.01</v>
      </c>
      <c r="K34" t="s">
        <v>74</v>
      </c>
      <c r="L34">
        <v>400</v>
      </c>
    </row>
    <row r="35" spans="4:12" x14ac:dyDescent="0.45">
      <c r="D35" s="4">
        <v>0.4</v>
      </c>
      <c r="E35">
        <f>10^-1</f>
        <v>0.1</v>
      </c>
      <c r="F35" t="s">
        <v>63</v>
      </c>
      <c r="H35">
        <v>0.1</v>
      </c>
      <c r="I35">
        <v>0.4</v>
      </c>
    </row>
    <row r="36" spans="4:12" x14ac:dyDescent="0.45">
      <c r="D36" s="4">
        <v>0.6</v>
      </c>
      <c r="E36">
        <f t="shared" ref="E36:E50" si="2">10^-1</f>
        <v>0.1</v>
      </c>
      <c r="F36" t="s">
        <v>63</v>
      </c>
      <c r="H36">
        <v>0.1</v>
      </c>
      <c r="I36">
        <v>0.6</v>
      </c>
    </row>
    <row r="37" spans="4:12" x14ac:dyDescent="0.45">
      <c r="D37" s="4">
        <v>0.8</v>
      </c>
      <c r="E37">
        <f t="shared" si="2"/>
        <v>0.1</v>
      </c>
      <c r="F37" t="s">
        <v>63</v>
      </c>
      <c r="H37">
        <v>0.1</v>
      </c>
      <c r="I37">
        <v>0.8</v>
      </c>
    </row>
    <row r="38" spans="4:12" x14ac:dyDescent="0.45">
      <c r="D38" s="4">
        <v>1</v>
      </c>
      <c r="E38">
        <f t="shared" si="2"/>
        <v>0.1</v>
      </c>
      <c r="F38" t="s">
        <v>63</v>
      </c>
      <c r="H38">
        <v>0.1</v>
      </c>
      <c r="I38">
        <v>1</v>
      </c>
    </row>
    <row r="39" spans="4:12" x14ac:dyDescent="0.45">
      <c r="D39" s="4">
        <v>2</v>
      </c>
      <c r="E39">
        <f t="shared" si="2"/>
        <v>0.1</v>
      </c>
      <c r="F39" t="s">
        <v>68</v>
      </c>
      <c r="H39">
        <v>0.1</v>
      </c>
      <c r="J39">
        <v>2</v>
      </c>
    </row>
    <row r="40" spans="4:12" x14ac:dyDescent="0.45">
      <c r="D40" s="4">
        <v>4</v>
      </c>
      <c r="E40">
        <f t="shared" si="2"/>
        <v>0.1</v>
      </c>
      <c r="F40" t="s">
        <v>68</v>
      </c>
      <c r="H40">
        <v>0.1</v>
      </c>
      <c r="J40">
        <v>4</v>
      </c>
    </row>
    <row r="41" spans="4:12" x14ac:dyDescent="0.45">
      <c r="D41" s="4">
        <v>6</v>
      </c>
      <c r="E41">
        <f t="shared" si="2"/>
        <v>0.1</v>
      </c>
      <c r="F41" t="s">
        <v>70</v>
      </c>
      <c r="H41">
        <v>0.1</v>
      </c>
      <c r="K41" t="s">
        <v>74</v>
      </c>
      <c r="L41">
        <v>6</v>
      </c>
    </row>
    <row r="42" spans="4:12" x14ac:dyDescent="0.45">
      <c r="D42" s="4">
        <v>8</v>
      </c>
      <c r="E42">
        <f t="shared" si="2"/>
        <v>0.1</v>
      </c>
      <c r="F42" t="s">
        <v>70</v>
      </c>
      <c r="H42">
        <v>0.1</v>
      </c>
      <c r="K42" t="s">
        <v>74</v>
      </c>
      <c r="L42">
        <v>8</v>
      </c>
    </row>
    <row r="43" spans="4:12" x14ac:dyDescent="0.45">
      <c r="D43" s="4">
        <v>10</v>
      </c>
      <c r="E43">
        <f t="shared" si="2"/>
        <v>0.1</v>
      </c>
      <c r="F43" t="s">
        <v>70</v>
      </c>
      <c r="H43">
        <v>0.1</v>
      </c>
      <c r="K43" t="s">
        <v>74</v>
      </c>
      <c r="L43">
        <v>10</v>
      </c>
    </row>
    <row r="44" spans="4:12" x14ac:dyDescent="0.45">
      <c r="D44" s="4">
        <v>20</v>
      </c>
      <c r="E44">
        <f t="shared" si="2"/>
        <v>0.1</v>
      </c>
      <c r="F44" t="s">
        <v>70</v>
      </c>
      <c r="H44">
        <v>0.1</v>
      </c>
      <c r="K44" t="s">
        <v>74</v>
      </c>
      <c r="L44">
        <v>20</v>
      </c>
    </row>
    <row r="45" spans="4:12" x14ac:dyDescent="0.45">
      <c r="D45" s="4">
        <v>40</v>
      </c>
      <c r="E45">
        <f t="shared" si="2"/>
        <v>0.1</v>
      </c>
      <c r="F45" t="s">
        <v>70</v>
      </c>
      <c r="H45">
        <v>0.1</v>
      </c>
      <c r="K45" t="s">
        <v>74</v>
      </c>
      <c r="L45">
        <v>40</v>
      </c>
    </row>
    <row r="46" spans="4:12" x14ac:dyDescent="0.45">
      <c r="D46" s="4">
        <v>60</v>
      </c>
      <c r="E46">
        <f t="shared" si="2"/>
        <v>0.1</v>
      </c>
      <c r="F46" t="s">
        <v>70</v>
      </c>
      <c r="H46">
        <v>0.1</v>
      </c>
      <c r="K46" t="s">
        <v>74</v>
      </c>
      <c r="L46">
        <v>60</v>
      </c>
    </row>
    <row r="47" spans="4:12" x14ac:dyDescent="0.45">
      <c r="D47" s="4">
        <v>80</v>
      </c>
      <c r="E47">
        <f t="shared" si="2"/>
        <v>0.1</v>
      </c>
      <c r="F47" t="s">
        <v>70</v>
      </c>
      <c r="H47">
        <v>0.1</v>
      </c>
      <c r="K47" t="s">
        <v>74</v>
      </c>
      <c r="L47">
        <v>80</v>
      </c>
    </row>
    <row r="48" spans="4:12" x14ac:dyDescent="0.45">
      <c r="D48" s="4">
        <v>100</v>
      </c>
      <c r="E48">
        <f t="shared" si="2"/>
        <v>0.1</v>
      </c>
      <c r="F48" t="s">
        <v>70</v>
      </c>
      <c r="H48">
        <v>0.1</v>
      </c>
      <c r="K48" t="s">
        <v>74</v>
      </c>
      <c r="L48">
        <v>100</v>
      </c>
    </row>
    <row r="49" spans="4:12" x14ac:dyDescent="0.45">
      <c r="D49" s="4">
        <v>200</v>
      </c>
      <c r="E49">
        <f t="shared" si="2"/>
        <v>0.1</v>
      </c>
      <c r="F49" t="s">
        <v>70</v>
      </c>
      <c r="H49">
        <v>0.1</v>
      </c>
      <c r="K49" t="s">
        <v>74</v>
      </c>
      <c r="L49">
        <v>200</v>
      </c>
    </row>
    <row r="50" spans="4:12" x14ac:dyDescent="0.45">
      <c r="D50" s="4">
        <v>400</v>
      </c>
      <c r="E50">
        <f t="shared" si="2"/>
        <v>0.1</v>
      </c>
      <c r="F50" t="s">
        <v>70</v>
      </c>
      <c r="H50">
        <v>0.1</v>
      </c>
      <c r="K50" t="s">
        <v>74</v>
      </c>
      <c r="L50">
        <v>400</v>
      </c>
    </row>
    <row r="52" spans="4:12" ht="14.25" customHeight="1" x14ac:dyDescent="0.45">
      <c r="D52" s="22" t="s">
        <v>75</v>
      </c>
      <c r="E52" s="22"/>
      <c r="F52" s="22"/>
    </row>
    <row r="53" spans="4:12" ht="14.25" customHeight="1" x14ac:dyDescent="0.45">
      <c r="D53" s="22"/>
      <c r="E53" s="22"/>
      <c r="F53" s="22"/>
    </row>
    <row r="54" spans="4:12" ht="14.25" customHeight="1" x14ac:dyDescent="0.45">
      <c r="D54" s="22"/>
      <c r="E54" s="22"/>
      <c r="F54" s="22"/>
    </row>
    <row r="55" spans="4:12" ht="14.25" customHeight="1" x14ac:dyDescent="0.45">
      <c r="D55" s="22"/>
      <c r="E55" s="22"/>
      <c r="F55" s="22"/>
    </row>
    <row r="56" spans="4:12" ht="14.25" customHeight="1" x14ac:dyDescent="0.45">
      <c r="D56" s="22"/>
      <c r="E56" s="22"/>
      <c r="F56" s="22"/>
    </row>
    <row r="57" spans="4:12" ht="14.25" customHeight="1" x14ac:dyDescent="0.45">
      <c r="D57" s="22"/>
      <c r="E57" s="22"/>
      <c r="F57" s="22"/>
    </row>
    <row r="58" spans="4:12" ht="14.25" customHeight="1" x14ac:dyDescent="0.45">
      <c r="D58" s="22"/>
      <c r="E58" s="22"/>
      <c r="F58" s="22"/>
    </row>
    <row r="59" spans="4:12" ht="14.25" customHeight="1" x14ac:dyDescent="0.45">
      <c r="D59" s="22"/>
      <c r="E59" s="22"/>
      <c r="F59" s="22"/>
    </row>
    <row r="60" spans="4:12" ht="14.25" customHeight="1" x14ac:dyDescent="0.45">
      <c r="D60" s="22"/>
      <c r="E60" s="22"/>
      <c r="F60" s="22"/>
    </row>
    <row r="61" spans="4:12" ht="14.25" customHeight="1" x14ac:dyDescent="0.45">
      <c r="D61" s="22"/>
      <c r="E61" s="22"/>
      <c r="F61" s="22"/>
    </row>
    <row r="62" spans="4:12" ht="14.25" customHeight="1" x14ac:dyDescent="0.45">
      <c r="D62" s="22"/>
      <c r="E62" s="22"/>
      <c r="F62" s="22"/>
    </row>
    <row r="63" spans="4:12" ht="14.25" customHeight="1" x14ac:dyDescent="0.45">
      <c r="D63" s="22"/>
      <c r="E63" s="22"/>
      <c r="F63" s="22"/>
    </row>
    <row r="64" spans="4:12" ht="14.25" customHeight="1" x14ac:dyDescent="0.45">
      <c r="D64" s="22"/>
      <c r="E64" s="22"/>
      <c r="F64" s="22"/>
    </row>
  </sheetData>
  <mergeCells count="2">
    <mergeCell ref="D1:F1"/>
    <mergeCell ref="D52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We-Oh</vt:lpstr>
      <vt:lpstr>We-Bars</vt:lpstr>
      <vt:lpstr>Tanner Deformation</vt:lpstr>
      <vt:lpstr>O'Rourke Deformation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Anushka D</dc:creator>
  <cp:keywords/>
  <dc:description/>
  <cp:lastModifiedBy>Dharmasanam, Anushka</cp:lastModifiedBy>
  <cp:revision/>
  <dcterms:created xsi:type="dcterms:W3CDTF">2015-06-05T18:17:20Z</dcterms:created>
  <dcterms:modified xsi:type="dcterms:W3CDTF">2026-07-17T01:56:56Z</dcterms:modified>
  <cp:category/>
  <cp:contentStatus/>
</cp:coreProperties>
</file>